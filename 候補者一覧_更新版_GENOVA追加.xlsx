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takeu\Downloads\"/>
    </mc:Choice>
  </mc:AlternateContent>
  <xr:revisionPtr revIDLastSave="0" documentId="13_ncr:1_{B1978B02-7F21-435B-85A2-18CF3B623DAA}" xr6:coauthVersionLast="47" xr6:coauthVersionMax="47" xr10:uidLastSave="{00000000-0000-0000-0000-000000000000}"/>
  <bookViews>
    <workbookView xWindow="3140" yWindow="1180" windowWidth="14400" windowHeight="7270" activeTab="3" xr2:uid="{00000000-000D-0000-FFFF-FFFF00000000}"/>
  </bookViews>
  <sheets>
    <sheet name="候補者一覧" sheetId="1" r:id="rId1"/>
    <sheet name="GP_ゼネラル・パーチェス" sheetId="2" r:id="rId2"/>
    <sheet name="Assured_アシュアード" sheetId="3" r:id="rId3"/>
    <sheet name="Mynavi_マイナビ" sheetId="4" r:id="rId4"/>
    <sheet name="RS_リクルートスタッフィング" sheetId="5" r:id="rId5"/>
    <sheet name="XMile_エックスマイル" sheetId="6" r:id="rId6"/>
    <sheet name="BREXA_ブレクサテクノロジー" sheetId="7" r:id="rId7"/>
    <sheet name="Zeal_ジールコミュニケーションズ" sheetId="8" r:id="rId8"/>
    <sheet name="WillOf_ウィルオブコンストラクション" sheetId="9" r:id="rId9"/>
    <sheet name="Recruit_KS_ホットペッパービューティー" sheetId="10" r:id="rId10"/>
    <sheet name="SoftBank_ソフトバンク販売クルー" sheetId="11" r:id="rId11"/>
    <sheet name="Leverages_レバレジーズ" sheetId="12" r:id="rId12"/>
    <sheet name="Daito_大東建託" sheetId="13" r:id="rId13"/>
    <sheet name="Recruit_KS_SUUMOカウンター" sheetId="14" r:id="rId14"/>
    <sheet name="SMS_エス・エム・エス" sheetId="15" r:id="rId15"/>
    <sheet name="HokenMadoguchi_ほけんの窓口" sheetId="16" r:id="rId16"/>
    <sheet name="IDOM_ガリバー" sheetId="17" r:id="rId17"/>
    <sheet name="UZUZ_ウズウズ" sheetId="18" r:id="rId18"/>
    <sheet name="Baudroie_ボードルア" sheetId="19" r:id="rId19"/>
    <sheet name="WorkPort_ワークポート" sheetId="20" r:id="rId20"/>
    <sheet name="GENOVA_ジェノバ" sheetId="21"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 i="21" l="1"/>
</calcChain>
</file>

<file path=xl/sharedStrings.xml><?xml version="1.0" encoding="utf-8"?>
<sst xmlns="http://schemas.openxmlformats.org/spreadsheetml/2006/main" count="643" uniqueCount="461">
  <si>
    <t>求人票データ｜株式会社マイナビ</t>
  </si>
  <si>
    <t>【ライフキャリア事業本部】RA / CA（企業系領域）／マイナビエージェント・マイナビ会計士</t>
  </si>
  <si>
    <t>必須要件（Must）</t>
  </si>
  <si>
    <t>■共通要件：首都圏エリアは27歳まで、地方エリアは28歳まで、2社経験以内、半年以上の離職経験なし、営業or数字を追う販売経験or ITエンジニア経験（SESでの就業は除く）</t>
  </si>
  <si>
    <t>歓迎要件（Want）</t>
  </si>
  <si>
    <t>・無形商材での営業経験
・自ら戦略やプロセスを策定し実行した経験</t>
  </si>
  <si>
    <t>仕事内容（概要）</t>
  </si>
  <si>
    <t>中途採用のRA（企業担当）またはCA（求職者担当）のいずれかを適性・希望に応じて担当。
【RA業務】
・新規営業（HP問合せ・紹介リード対応）、契約締結・求人票作成
・応募獲得（求人ブラッシュアップ、CA連携）
・選考フォロー・クロージング
・深耕営業（定期MTG、課題分析・改善提案）
【CA業務】
・新規面談（転職軸・希望条件・経歴ヒアリング）
・求人紹介（RAと連携）
・選考フォロー・面接対策
・スカウト・知人紹介による面談獲得</t>
  </si>
  <si>
    <t>求める人物像</t>
  </si>
  <si>
    <t>・目標達成意欲が高く結果にこだわれる人
・バイタリティがあり、フットワーク軽くチャレンジできる人
・自ら考えて行動できる自走力がある人
・管理職へのキャリアアップを希望する人</t>
  </si>
  <si>
    <t>ターゲット層の傾向</t>
  </si>
  <si>
    <t>【大手・ブランド志向・キャリア志向型】
・社会人1年目〜若手層（第二新卒含む）が主なターゲット
・「マイナビ」ブランドの安心感・知名度が訴求力になる
・営業未経験でも応募可で間口は広め
・全国50拠点以上で勤務地の選択肢が多い（北海道〜福岡）
・管理職へのキャリアアップ志向が強い人に向く</t>
  </si>
  <si>
    <t>想定年収レンジ</t>
  </si>
  <si>
    <t>400万〜970万円
【モデル年収】
・26歳（中途2年・一般社員）：450〜550万円
・30歳（中途5年・課長職）：600〜750万円
・35歳（中途8年・部長職）：800〜950万円
試用期間3ヶ月（待遇変更なし）
地域手当あり（首都圏世帯主：44,500円、非世帯主：5,000円）</t>
  </si>
  <si>
    <t>NG条件・懸念点</t>
  </si>
  <si>
    <t>【公式NG記載なし。以下は実務上の懸念点】
・社会人経験1年未満は応募不可
・RA/CA配属は希望・適性次第で決定されるため、希望ポジションが保証されない
・9:15〜17:45の固定勤務時間（一部時差出勤あり）
・転勤あり（全国拠点）※勤務地は複数申告可能
・転職回数より「短期離職の繰り返し」は懸念される可能性あり</t>
  </si>
  <si>
    <t>エージェントメモ
（裏の評価・社風）</t>
  </si>
  <si>
    <t>・「マイナビ」ブランドは誰でも知っているため、候補者への説明コストが低い
・20事業・50以上のサービスを持つため、入社後の異動・ジョブチェンジの選択肢が多い
・副業可・在宅勤務可・社内公募制度ありなど、キャリア自律型の制度が充実
・風通しが良く中途入社者が多い社風で、異業種出身者も馴染みやすい
・RA/CAどちらになるかが選考前に確定しないことは事前説明が必要
・NG評価ポイント：「指示待ち・受身・目標数値に無関心」なタイプは合わない</t>
  </si>
  <si>
    <t>出典：求人票（株式会社マイナビ）2025/04/20版　※エージェントメモは求人票記載外の情報を含む</t>
  </si>
  <si>
    <t>候補者名</t>
  </si>
  <si>
    <t>決定先企業名</t>
  </si>
  <si>
    <t>経験職種</t>
  </si>
  <si>
    <t>主要スキル</t>
  </si>
  <si>
    <t>年齢</t>
  </si>
  <si>
    <t>転職回数</t>
  </si>
  <si>
    <t>直近業種</t>
  </si>
  <si>
    <t>合計経験年数</t>
  </si>
  <si>
    <t>職務要約・強み</t>
  </si>
  <si>
    <t>内定先評価コメント</t>
  </si>
  <si>
    <t>日野 達貴</t>
  </si>
  <si>
    <t>ゼネラル・パーチェス株式会社</t>
  </si>
  <si>
    <t>行政事務（滞納整理）</t>
  </si>
  <si>
    <t>ヒアリング力・課題整理力、伴走型支援、OJT育成、Word/Excel/PowerPoint</t>
  </si>
  <si>
    <t>官公庁・行政</t>
  </si>
  <si>
    <t>約6年</t>
  </si>
  <si>
    <t>松山大学経済学部卒業後、新宿区役所に新卒入区。税務課にて滞納整理業務を6年間担当。年間1,000件の滞納案件を担当し、整理率70%（課内平均以上）を達成。財産差押（年間約200件）や訪問調査も実施。入庁4年目には後輩職員のOJTを1年間担当。不安・抵抗感の強い相手に寄り添い、納得感ある合意形成を強みとする。</t>
  </si>
  <si>
    <t>中村 実</t>
  </si>
  <si>
    <t>株式会社アシュアード</t>
  </si>
  <si>
    <t>住宅オプション営業・現場管理</t>
  </si>
  <si>
    <t>提案力・空間コーディネート、現場管理・職人対応、見積作成・発注管理、Word/Excel/PowerPoint</t>
  </si>
  <si>
    <t>住宅・インテリア</t>
  </si>
  <si>
    <t>約2年</t>
  </si>
  <si>
    <t>青山学院大学国際政治経済学部卒業後、ME style株式会社に入社。住宅オプション（家具・カーテン・照明・太陽光等）の提案営業を担当。直近半年間で同期9名中2位の利益率を維持。上半期にはロールスクリーン売上で全社37名中2位を獲得。現場に積極的に足を運び平均の約3倍の成約率を実現。失注率を約10%改善。</t>
  </si>
  <si>
    <t>宇都宮 綾乃</t>
  </si>
  <si>
    <t>株式会社マイナビ</t>
  </si>
  <si>
    <t>販売・フロアマネージャー</t>
  </si>
  <si>
    <t>売場・在庫管理、数値分析・改善提案、チームマネジメント・育成、インテリアコーディネーター資格、MOS Excel</t>
  </si>
  <si>
    <t>小売（家具・インテリア）</t>
  </si>
  <si>
    <t>約3年</t>
  </si>
  <si>
    <t>明治学院大学経済学部卒業後、株式会社ニトリに新卒入社。1年目からホームファッション・カーテン担当、3年目にフロアマネージャーへ早期昇格。1店舗目ではエリア内10店舗中唯一カーテン予算達成。客単価約1.25倍向上を実現。パート含む10名以上を巻き込み数値改善を主導。インテリアコーディネーター・福祉住環境コーディネーター2級保有。</t>
  </si>
  <si>
    <t>杉山 直輝</t>
  </si>
  <si>
    <t>株式会社リクルートスタッフィング</t>
  </si>
  <si>
    <t>ITインフラ運用保守（ネットワーク・AWS）</t>
  </si>
  <si>
    <t>AWS(EC2/RDS/S3)運用保守、ネットワーク監視・障害対応（Cisco/FortiGate/Palo Alto）、マニュアル作成、ITパスポート</t>
  </si>
  <si>
    <t>IT・通信（技術者派遣）</t>
  </si>
  <si>
    <t>中央調理製菓専門学校卒業後、日映株式会社（飲食）に1年勤務後、株式会社オープンアップITエンジニアへ転職。社内ネットワーク研修を経て、コールセンター（全国50拠点）のネットワーク運用保守、浜松市共通基盤システム（AWS）の運用保守に従事。障害対応・マニュアル整備・問い合わせ対応を担当。日商簿記3級・調理師免許・ITパスポート保有。</t>
  </si>
  <si>
    <t>バレー部を創設しようとしたところや、未経験からのIT職にも資格取得しながら挑戦しようとする実行力やポジティブさが好印象。裏表のないコミュニケーションからくる信頼感がカスタマー対応も安心してお任せできると感じた。転職時にキャリアコーチングを受講したり、未経験ITに就くための見立て、達成するための確動性など、弊社にてご活躍いただけるイメージが湧いた。</t>
  </si>
  <si>
    <t>佐藤 新</t>
  </si>
  <si>
    <t>株式会社ボードルア</t>
  </si>
  <si>
    <t>自動車販売・保険営業（カーライフアドバイザー）</t>
  </si>
  <si>
    <t>自動車販売・提案営業、損害保険営業、顧客ヒアリング・課題提案、簿記2級・ITパスポート・自動車査定士</t>
  </si>
  <si>
    <t>自動車販売</t>
  </si>
  <si>
    <t>國學院大學経済学部卒業後、千葉スバル株式会社に入社。カーライフアドバイザーとして自動車販売・損害保険契約獲得・JAF加入促進・入庫予約獲得を担当。「お客様に損をさせない」をモットーに最適提案を実施し顧客満足度向上に貢献。上司へ積極的に相談し素直に実行する姿勢で成長。損害保険募集人・中古車査定士・簿記2級保有。</t>
  </si>
  <si>
    <t>大瀬 哲也</t>
  </si>
  <si>
    <t>XMile株式会社</t>
  </si>
  <si>
    <t>コールセンター管理職（マネージャー・SV・オペレーター）</t>
  </si>
  <si>
    <t>KPI管理、予算管理、チームマネジメント、クライアント折衝、AI自動受注構築、Excel/Word/PowerPoint</t>
  </si>
  <si>
    <t>BPO・コールセンター</t>
  </si>
  <si>
    <t>約13年</t>
  </si>
  <si>
    <t>2012年入社のカスタマーリレーションテレマーケティング社に一社専念。オペレーターからマネージャーへ昇格し、60名規模のチームを統括。ベンダー間11社中1位のベストセンター賞受賞。新規プロジェクト立ち上げ・事業規模5倍拡大の実績あり。</t>
  </si>
  <si>
    <t>芳田 利織</t>
  </si>
  <si>
    <t>株式会社BREXA Technology（旧株式会社アウトソーシングテクノロジー）</t>
  </si>
  <si>
    <t>航空機整備員、製造・検査スタッフ</t>
  </si>
  <si>
    <t>航空機点検・整備、品質管理、手順書遵守、チーム連携、報連相</t>
  </si>
  <si>
    <t>自動車製造</t>
  </si>
  <si>
    <t>約11年（自衛隊7.5年含む）</t>
  </si>
  <si>
    <t>海上自衛隊で約7年半、航空機整備・南極観測支援に従事。除隊後は日立建機、いすゞ関連、日産自動車で製造・検査業務を経験。安全性・正確性・手順遵守を強みとする現場型人材。</t>
  </si>
  <si>
    <t>小島 奎晟</t>
  </si>
  <si>
    <t>株式会社ジールコミュニケーションズ</t>
  </si>
  <si>
    <t>小売販売スタッフ、鮮魚ディストリビューター</t>
  </si>
  <si>
    <t>売場管理・改善、数値分析、PDCA、マニュアル化、業務効率化、Excel/Word/PowerPoint、日商簿記3級</t>
  </si>
  <si>
    <t>小売・食品</t>
  </si>
  <si>
    <t>トライアルカンパニーに新卒入社。鮮魚部門で社内全店売場コンテスト2位（340店舗中）を獲得。商品部異動後は担当店舗の黒字化を達成し、管轄店舗の売上昨対比110%を4ヶ月連続達成。現場と本部を横断するコミュニケーション力が強み。</t>
  </si>
  <si>
    <t>亀井 颯太</t>
  </si>
  <si>
    <t>ウォーターウィッシュ</t>
  </si>
  <si>
    <t>ホテルルームサービス、新入社員教育担当</t>
  </si>
  <si>
    <t>英語接客（対面・電話）、チーム指導、備品管理、清掃管理、Excel/Word基礎</t>
  </si>
  <si>
    <t>ホテル・旅館</t>
  </si>
  <si>
    <t>約2.5年</t>
  </si>
  <si>
    <t>ホスピタリティツーリズム専門学校卒業後、日本ヒルトンに入社。海外顧客9割の環境で英語接客を経験。新入社員・中途社員の教育担当も務め、清掃管理リスト作成など業務改善に取り組む。レストランサービス技能検定3級保有。</t>
  </si>
  <si>
    <t>澤津 光佐</t>
  </si>
  <si>
    <t>株式会社ウィルオブ・コンストラクション</t>
  </si>
  <si>
    <t>施設警備員、副隊長</t>
  </si>
  <si>
    <t>施設巡回・異常対応、シフト作成、労務・勤怠管理、受付業務、リーダーシップ</t>
  </si>
  <si>
    <t>警備</t>
  </si>
  <si>
    <t>約2年（警備）</t>
  </si>
  <si>
    <t>イオンディライトセキュリティに入社し、約1年半で副隊長に昇格。施設巡回・救急対応・シフト作成・勤怠管理まで幅広く担当。不動産への関心も高く、宅地建物取引士取得を志向。</t>
  </si>
  <si>
    <t>長野 永遠</t>
  </si>
  <si>
    <t>株式会社リクルート_飲食・ビューティー領域（KS）</t>
  </si>
  <si>
    <t>スターバックス店長・SV・バリスタ</t>
  </si>
  <si>
    <t>店舗経営・P&amp;L管理、人材育成（店長3名輩出）、PDCA、売上分析・仮説検証、Excel/PowerPoint、宅地建物取引士、食品衛生管理者</t>
  </si>
  <si>
    <t>飲食・カフェ</t>
  </si>
  <si>
    <t>約7.5年</t>
  </si>
  <si>
    <t>CCC（スターバックス事業本部）に7年半勤務。アルバイトから正社員・店長へ昇格。新店立ち上げ（売上予算138%・営業利益予算388%達成）や採用困難地区の課題解決を主導。店長3名を育成・輩出。データ分析と人材育成を強みとし、人材業界へのキャリアチェンジを志望。</t>
  </si>
  <si>
    <t>新井 啓介</t>
  </si>
  <si>
    <t>ソフトバンク株式会社</t>
  </si>
  <si>
    <t>小売接客・販売スタッフ、製造ラインスタッフ</t>
  </si>
  <si>
    <t>接客・販売（アパレル・食品）、顧客ニーズヒアリング、製造ライン作業、ホスピタリティ</t>
  </si>
  <si>
    <t>製造</t>
  </si>
  <si>
    <t>約3年（アルバイト）</t>
  </si>
  <si>
    <t>専門学校（ダンス・俳優）卒業後、イオン・ライトオンでアルバイト経験。イオンでは入社2ヶ月で顧客満足度における店内表彰を獲得。現在は製造業で基礎力を養成中。学習意欲と実行力を強みとし、正社員としての初就職を目指している。</t>
  </si>
  <si>
    <t>荒井 優香</t>
  </si>
  <si>
    <t>レバレジーズ株式会社</t>
  </si>
  <si>
    <t>眼鏡販売スタッフ・副店長・店長</t>
  </si>
  <si>
    <t>店舗マネジメント・売上管理、スタッフ育成、新店立ち上げ、オペレーション構築、顧客対応・提案販売、Excel/Word/PowerPoint、販売士2級</t>
  </si>
  <si>
    <t>小売（眼鏡・アイウェア）</t>
  </si>
  <si>
    <t>約3.5年</t>
  </si>
  <si>
    <t>成城大学卒業後、ジンズに新卒入社。販売スタッフ→副店長→店長と昇格。長野県新店舗ではオプション装着率4ヶ月連続県内1位、7月度新店売上同ランク1位を達成。複数店舗・地域での経験を持ち、チーム育成と新店立ち上げを強みとする。</t>
  </si>
  <si>
    <t>浅見 悠輔</t>
  </si>
  <si>
    <t>株式会社はなまる</t>
  </si>
  <si>
    <t>鉄道駅員・列車乗務員（車掌・運転士）</t>
  </si>
  <si>
    <t>鉄道運転・安全管理、旅客対応、新入社員教育、勤務表自動化（Excel）、簿記3級、動力車操縦者甲種</t>
  </si>
  <si>
    <t>交通・鉄道</t>
  </si>
  <si>
    <t>約11年</t>
  </si>
  <si>
    <t>高校卒業後、京急グループに入社し一社専念で11年以上勤務。駅係員から車掌・運転士へキャリアアップ。会計監査で経理部長に評価を受け、部内表彰・無事故表彰を受賞。Excelで勤務表自動化の仕組みを構築するなど、業務改善意識も高い。</t>
  </si>
  <si>
    <t>武藤 崚</t>
  </si>
  <si>
    <t>古物買取営業（フィールドバイヤー）</t>
  </si>
  <si>
    <t>個人向け買取営業、査定力、顧客対応・クレーム処理、部門間連携交渉</t>
  </si>
  <si>
    <t>リユース・古物買取</t>
  </si>
  <si>
    <t>同志社大学卒業後、REGATE社に新卒入社。ブランド品・時計・貴金属等の個人買取営業に従事。2023年度下期120%、2024年度110%の予算達成。東日本顧客満足度営業99名中1位。ヒアリング力と信頼構築を強みとした提案型営業スタイル。</t>
  </si>
  <si>
    <t>磯部 翔平</t>
  </si>
  <si>
    <t>大東建託株式会社</t>
  </si>
  <si>
    <t>中学校・特別支援学校教諭（保健体育）</t>
  </si>
  <si>
    <t>学級経営、生徒・保護者対応、部活動指導（ハンドボール・バスケ）、課題発見・改善、チームマネジメント、中学教諭免許・高校教諭免許</t>
  </si>
  <si>
    <t>教育（公立中学校）</t>
  </si>
  <si>
    <t>約8年</t>
  </si>
  <si>
    <t>特別支援学校講師2年・公立中学校教諭6年の経験。担任5学級・延べ200名を指導。学校生活満足度90%達成、部活動で愛知地区大会準優勝・県大会出場を実現。人材紹介営業へのキャリアチェンジを志望。</t>
  </si>
  <si>
    <t>池田 貴璃子</t>
  </si>
  <si>
    <t>株式会社リクルート_SUUMOカウンター領域</t>
  </si>
  <si>
    <t>ウェディングプランナー・宴会スタッフ</t>
  </si>
  <si>
    <t>新規接客・成約営業、打合せ・施行管理、集客施策（HP運用）、新人OJT、チーフWP昇格実績</t>
  </si>
  <si>
    <t>ブライダル・ホテル</t>
  </si>
  <si>
    <t>目黒雅叙園に入社後、宴会部を経てウェディングプランナーとして4年間活躍。4年間で新規接客270組・成約149組（成約率55%）を達成。全社ウェディングアワードトップ10入賞。2025年4月チーフWPに昇格。</t>
  </si>
  <si>
    <t>花田 絵里香</t>
  </si>
  <si>
    <t>東建コーポレーション株式会社</t>
  </si>
  <si>
    <t>美容師（スタイリスト・業務委託）</t>
  </si>
  <si>
    <t>カット・カラー・パーマ全般、カウンセリング、顧客管理、予約管理、管理美容師資格</t>
  </si>
  <si>
    <t>美容・サロン</t>
  </si>
  <si>
    <t>専門学校卒業後、ケンジグループで正社員スタイリストを経験後、B-first・mirror ballにて業務委託で活動。カウンセリング重視の接客と安心感ある雰囲気づくりを強みとし、リピーター獲得に貢献。管理美容師資格保有。</t>
  </si>
  <si>
    <t>塩谷 拓巳</t>
  </si>
  <si>
    <t>株式会社エス・エム・エス</t>
  </si>
  <si>
    <t>中古車販売営業（セールスリーダー）、個人事業主（ブライダル・卸営業）</t>
  </si>
  <si>
    <t>反響営業・飛込営業、高単価商材接客、KPI管理、OJT指導、MOS Excel/Word、オンライン商談</t>
  </si>
  <si>
    <t>中古車販売・個人事業</t>
  </si>
  <si>
    <t>約2年（法人）＋個人事業</t>
  </si>
  <si>
    <t>IDOM岡山支店でセールスリーダーを担当。2024年度売上2,500万円（前年比250%）・顧客満足度9.2点を達成。退職後は個人事業主としてブライダル撮影・日用品卸営業に従事。反響・飛込・オンライン全方位の営業経験を持つ。</t>
  </si>
  <si>
    <t>【総合コメント】高い目標達成意欲と、成果のために自身の行動やプライドを柔軟に変えられる「成果意識」と「受容性」を高く評価し内定。環境に依存せず自責でPDCAを回せる姿勢は、入社後の早期活躍を期待させる。
【ポジティブ】①圧倒的な成果意識と行動力（予算比150%目標を自ら設定し達成）②柔軟な自己変革と受容性（年下同僚から素直に学ぶ）③自責思考に基づく学習スタンス</t>
  </si>
  <si>
    <t>犬窪 智也</t>
  </si>
  <si>
    <t>保育士（幼保連携型認定こども園）</t>
  </si>
  <si>
    <t>2〜5歳児クラス担任、保護者対応・面談、行事企画運営、体育活動指導、保育士資格・幼稚園教諭一種・小学校教諭二種</t>
  </si>
  <si>
    <t>保育・教育</t>
  </si>
  <si>
    <t>約4年</t>
  </si>
  <si>
    <t>常磐会学園大学卒業後、木の実キッズキャンパスに入職し4年間在籍。2〜5歳児の担任として保育計画・行事運営・保護者対応を担当。男性保育士として体力面での強みを発揮。対人理解力・向上心・主体性を強みとし、異業種へのキャリアチェンジを志望。</t>
  </si>
  <si>
    <t>黒田 党摩</t>
  </si>
  <si>
    <t>株式会社ワークポート</t>
  </si>
  <si>
    <t>求人広告・DX商材の法人営業、旅館フロントスタッフ</t>
  </si>
  <si>
    <t>新規法人営業（1日50件アプローチ）、DX提案（MEO・面接日程自動化）、英語接客（TOEIC625点）、Excel/PowerPoint/Slack/Zoom</t>
  </si>
  <si>
    <t>HR・求人広告</t>
  </si>
  <si>
    <t>約1.5年（営業）</t>
  </si>
  <si>
    <t>ディップ社で法人営業に従事し、入社7ヶ月目以降10ヶ月連続目標達成・同期8名中1位を維持。2024年度上期売上260万円（達成率120%）。退職後は旅館フロント勤務を経てNZワーキングホリデー。英語日常会話レベル。</t>
  </si>
  <si>
    <t>川上 凜々</t>
  </si>
  <si>
    <t>臨床検査技師（病院）</t>
  </si>
  <si>
    <t>生理検査・検体検査（心電図・肺機能・血液・尿）、医療安全対策、業務改善提案、患者コミュニケーション、臨床検査技師資格</t>
  </si>
  <si>
    <t>医療・病院</t>
  </si>
  <si>
    <t>鳥取大学医学部卒業後、岡山西大寺病院に入職。医療安全対策委員会・院内感染対策委員会に所属し、検体未到着検知システムの導入と委員会資料の効率化を推進。問題解決力・洞察力を強みに異業種への転職を志望。</t>
  </si>
  <si>
    <t>松田 丈一郎</t>
  </si>
  <si>
    <t>中学校・高等学校教諭（理科）</t>
  </si>
  <si>
    <t>理科授業設計・ICT活用（YouTube動画配信・Googleフォーム自動採点）、学級経営、部活指導（ソフトテニス地区優勝）、中学・高校教諭免許（理科）、FP3級</t>
  </si>
  <si>
    <t>約5年</t>
  </si>
  <si>
    <t>愛媛大学理学部卒業後、高校講師1年・中学校教諭4年を経験。ICT活用で学校全体の残業を削減（担任9名の1日1時間削減）。受験生の定期試験平均点を10点向上。地区大会優勝部活を指導。主体性・行動力を強みとする。</t>
  </si>
  <si>
    <t>新野 進也</t>
  </si>
  <si>
    <t>株式会社リクルート_住宅領域</t>
  </si>
  <si>
    <t>トリマー（犬・猫のトリミング）</t>
  </si>
  <si>
    <t>犬猫のトリミング施術、飼い主カウンセリング、予約管理、クレーム対応、店舗運営補助、業務改善提案</t>
  </si>
  <si>
    <t>ペット・トリミング</t>
  </si>
  <si>
    <t>スカイ総合ペット専門学校卒業後、シエル社でトリマーとして8年間在籍。犬種・猫種・状態に応じた提案でリピーター獲得に貢献。カウンセリング力・信頼構築力・クレーム対応力を強みとし、営業職へのキャリアチェンジを志望。</t>
  </si>
  <si>
    <t>高瀬 尚也</t>
  </si>
  <si>
    <t>理学療法士（介護老人保健施設・小児医療）</t>
  </si>
  <si>
    <t>リハビリテーション業務、在宅復帰マネジメント、副主任・売上管理、後輩指導、福祉用具選定、理学療法士免許・認定理学療法士（介護予防）</t>
  </si>
  <si>
    <t>介護・リハビリ</t>
  </si>
  <si>
    <t>約10年</t>
  </si>
  <si>
    <t>北海道文教大学卒業後、小児医療センター1年・介護老人保健施設9年勤務。在宅復帰率90%以上を継続達成。2024年副主任就任後、リハビリ課売上前年比117%（2,000万→2,350万円）を実現。スタッフマネジメント・後輩育成にも注力。</t>
  </si>
  <si>
    <t>薬師寺 優貴</t>
  </si>
  <si>
    <t>中学校教諭（技術・数学）、GIGAスクール推進担当</t>
  </si>
  <si>
    <t>ICT活用推進（教員ICT活用率20%→100%）、学級経営、生徒会指導、校則改正プロジェクト推進、中学・高校教諭免許（数学・技術・工業）</t>
  </si>
  <si>
    <t>東京学芸大学卒業後、川崎市立高津中学校に4年間勤務。GIGAスクール推進教師として教員ICT活用率を100%に引き上げ、会議資料準備・会議時間を80%削減。授業満足度50%→80%向上。校則改正プロジェクトで合意形成を主導。</t>
  </si>
  <si>
    <t>【総合コメント】現職（教員）において、市から規定されていないにもかかわらず自ら「ICT活用率100%」という高い目標を掲げ、周囲を巻き込んで完遂した圧倒的な行動力を高く評価。また、未経験の領域であっても変なプライドを持たず、アドバイスを即座に吸収しようとする「極めて高い素直さ」をお持ちであり、弊社のカルチャーに強くマッチするポテンシャル人材であると判断し内定。
【ポジティブ】①圧倒的な素直さと受容性②泥臭く目標を完遂する力（グリット）</t>
  </si>
  <si>
    <t>高嶺 輝也</t>
  </si>
  <si>
    <t>小学校教諭（非常勤講師・正規教諭）</t>
  </si>
  <si>
    <t>学級担任（30名）、ICT活用指導、行事企画・運営、学年会計、特別支援学級対応、小学校・中高音楽教諭免許</t>
  </si>
  <si>
    <t>教育（公立小学校）</t>
  </si>
  <si>
    <t>岐阜大学教育学部卒業後、非常勤講師（特別支援学級）1年・横浜市立小学校正規教諭2年目在籍。30名学級担任としてICT活用授業・行事運営・学年会計を担当。状況判断力・マルチタスク力・コミュニケーション力を強みとする。</t>
  </si>
  <si>
    <t>勝又 優紀</t>
  </si>
  <si>
    <t>理学療法士（急性期総合病院）</t>
  </si>
  <si>
    <t>入院・外来リハビリ（月170〜200名）、臨床推論・治療計画立案、多職種連携、後輩・学生指導、理学療法士免許・心不全療養指導士、学会発表（Clinical Research Award入賞）</t>
  </si>
  <si>
    <t>国際医療福祉大学卒業後、市川病院に入職。月200名のリハビリを担当し継続率99%を維持。InBodyを用いた多職種チーム研究を主導し関東循環器学会でClinical Research Award入賞・ベスト5。4年目で後輩・学生6名の育成を担当。</t>
  </si>
  <si>
    <t>佐久川 政哉</t>
  </si>
  <si>
    <t>ほけんの窓口グループ株式会社</t>
  </si>
  <si>
    <t>人材育成・派遣担当（ブライダル企業）</t>
  </si>
  <si>
    <t>学生アルバイト組織運営（140名）、シフト・アサイン管理、定期面談・育成、イベント企画、充足率管理、社外ハイアット派遣（社内1位50回）</t>
  </si>
  <si>
    <t>ブライダル・人材育成</t>
  </si>
  <si>
    <t>沖縄国際大学卒業後、沖縄ワタベウェディングに入社。140名の学生スタッフを4名チームで運営し、自社充足率を65%→90%（史上最高）に引き上げ、外部委託費4,200万円削減を達成。部署内評価オールA。大学での講義登壇実績あり。</t>
  </si>
  <si>
    <t>平野 直輝</t>
  </si>
  <si>
    <t>株式会社IDOM</t>
  </si>
  <si>
    <t>温浴施設副主任（店舗運営・接客サービス）</t>
  </si>
  <si>
    <t>店舗運営・接客サービス、50名超アルバイト管理・教育、業務マニュアル作成、シフト管理、新規店舗立ち上げ、大型リニューアル対応</t>
  </si>
  <si>
    <t>温浴施設・サービス</t>
  </si>
  <si>
    <t>約9年</t>
  </si>
  <si>
    <t>高校卒業後、ふくの湯にアルバイト入社し2年後正社員に。2019年新規店舗立ち上げで副主任に昇進。50名超のアルバイトマネジメント・シフト管理・マニュアル作成を担当。2024年大型リニューアルにも参画。傾聴力と課題解決の提案力が強み。</t>
  </si>
  <si>
    <t>家村 美玲</t>
  </si>
  <si>
    <t>スーパー精肉担当（パート→正社員業務）、ファッションインターン、青果部門スタッフ</t>
  </si>
  <si>
    <t>精肉加工・スライサー・売り場管理・発注・棚卸し、青果商品化・POP制作・接客、ファッション接客・展示会運営、吸収力・能動的学習</t>
  </si>
  <si>
    <t>食品小売（スーパー）</t>
  </si>
  <si>
    <t>約5年（社会人）</t>
  </si>
  <si>
    <t>日本大学芸術学部デザイン学科卒業後、ファッションブランドインターン・サミット青果部門・サンベルクス精肉部門を経験。精肉部門では正社員業務（発注・価格管理・棚卸し）まで担当。吸収力と環境適応力を強みに営業職へのキャリアチェンジを志望。</t>
  </si>
  <si>
    <t>安保 文人</t>
  </si>
  <si>
    <t>株式会社UZUZ</t>
  </si>
  <si>
    <t>ネットワークエンジニア（運用保守）、携帯販売営業</t>
  </si>
  <si>
    <t>法人向けネットワーク運用保守（Linux/Cisco/Juniper各5年）、携帯販売営業（組織内1位）、後輩メンター育成（7名）、業務標準化・マニュアル作成</t>
  </si>
  <si>
    <t>携帯販売営業</t>
  </si>
  <si>
    <t>約7年（エンジニア）＋約1年（営業）</t>
  </si>
  <si>
    <t>APコミュニケーションズで6年半ネットワークエンジニアとして勤務後、FIDIA SOLUTIONSで携帯販売営業に転職。2025年9〜12月に組織内80名中1位の営業成績を達成。後輩7名のメンター担当。エンジニア経験と営業力を掛け合わせたキャリアを志向。</t>
  </si>
  <si>
    <t>笠井 雄太</t>
  </si>
  <si>
    <t>地方公務員（生活保護課・介護福祉課）</t>
  </si>
  <si>
    <t>生活保護受給者の就労支援（4年で11名就労達成・係内1位）、介護給付業務、ヒアリング・合意形成、FAQ整備・業務改善、小学校教諭二種・中高教諭一種免許</t>
  </si>
  <si>
    <t>行政・自治体</t>
  </si>
  <si>
    <t>北海道教育大学卒業後、苫小牧市役所に入庁。生活保護課で4年間就労支援を担当し係内1位の実績（11名就労・5名自立）。介護福祉課では給付業務とFAQ整備による業務標準化を推進。全国研修でグループリーダーを担当。課題解決力と合意形成力が強み。</t>
  </si>
  <si>
    <t>白井 泉梨</t>
  </si>
  <si>
    <t>タクシー乗務員（キッズタクシー担当含む）</t>
  </si>
  <si>
    <t>タクシー運転・接客、キッズタクシー運行管理（事前確認・保護者連絡）、東京都内地理知識、時間管理・逆算行動計画、普通自動車二種免許</t>
  </si>
  <si>
    <t>運輸・交通（タクシー）</t>
  </si>
  <si>
    <t>神田外語大学（英米語学科）卒業後、日本交通に入社しタクシー乗務員として4年間勤務。キッズタクシー担当チーム50名に所属し、保護者への事前連絡・ルート確認を徹底。予約送迎遅刻ゼロを継続。コミュニケーション能力と業務管理能力を強みとする。</t>
  </si>
  <si>
    <t>野口 稔陽</t>
  </si>
  <si>
    <t>行政事務（公共工事設計・発注・監督）、業務DX推進</t>
  </si>
  <si>
    <t>公共工事設計・発注・施工監督、業務DX推進（公開型地図システム・Logoフォーム導入）、合意形成・関係者調整、水道技術管理者資格</t>
  </si>
  <si>
    <t>約4年半（行政）</t>
  </si>
  <si>
    <t>龍谷大学卒業後、独立リーグ野球選手を経て行政職へ転身。海津市役所建設課（8ヶ月）、東員町役場上下水道課（約4年）に勤務。年間5,000万〜1億円規模の公共工事の設計・発注・監督・検査を一貫担当。公開型地図システムおよびLogoフォームを導入し業務DXを推進、月20時間の問い合わせ対応工数を削減。前例踏襲・紙文化の行政組織で合意形成を重ねながら業務フローを抜本改革。水道技術管理者資格保有。</t>
  </si>
  <si>
    <t>求人票データ｜ゼネラル・パーチェス株式会社</t>
  </si>
  <si>
    <t>【六本木本社】法人営業◆コスト分析サービスの提案 / COST DOCK</t>
  </si>
  <si>
    <t>・何かしらの営業経験（年数・商材・業種不問）
・第二新卒歓迎（学歴不問）</t>
  </si>
  <si>
    <t>・経営者相手の営業に挑戦したい意欲
・数字コミットできる／行動量・タフさに自信あり
・将来的に独立・経営を視野に入れている
・セールス領域で市場価値を高めたい方</t>
  </si>
  <si>
    <t>コスト分析ITサービス「COST DOCK」の法人営業。
金融機関・税理士法人パートナーからの紹介顧客（見込み客）にWEB商談で提案。
1日4〜5件の経営者商談 → コスト分析レポート送付 → 収益改善提案 → 契約締結 → 進捗管理 → DX商材クロスセル。
新規開拓なし・インバウンド型。通信/光熱費/金融/OA/DX/AI等40項目以上を扱う。</t>
  </si>
  <si>
    <t>・成果で評価されたい／数字にコミットできる人
・行動量と粘り強さがある人
・経営者から学び成長したい人
・20代でキャリアと年収を同時に上げたい人
・プライドより素直さ・吸収力を持つ人</t>
  </si>
  <si>
    <t>【ベンチャー志向・成果主義型】
・異業種出身者多数（金融・アパレル・飲食・人材など）
・第二新卒〜30代前半がメイン層
・学歴不問・ポテンシャル重視
・「稼ぎたい・成長したい」動機が強い人材が向く</t>
  </si>
  <si>
    <t>450万〜600万円（求人票記載）
月給：309,000円（基本給24万＋固定残業代4万0時間分含む）
決算賞与あり（11月・最大月給×2.5ヶ月）
昇給：年1回
※グレード制：年収380万〜1,250万のレンジ。20代で1,000万も狙えると謳っている</t>
  </si>
  <si>
    <t>【公式NG記載なし。以下は実務上の懸念点】
・営業経験ゼロはNGの可能性（一般事務・技術職のみ経歴は注意）
・試用期間6ヶ月は契約社員扱い（内定後説明必要）
・固定残業40時間分込みの給与提示のため、実質的な時給は注意
・転職回数より「短期離職の繰り返し」は懸念される可能性あり</t>
  </si>
  <si>
    <t>・完全インバウンド型営業で「新規開拓なし」はフックになりやすい
・毎日経営者4〜5件商談は体力勝負。タフさ・行動量を問う文化
・第二創業期で役職ポジションが出やすく、昇格スピードは速い可能性
・「稼ぎたい」動機が強い候補者への訴求ポイントは年収レンジの広さ
・社内は20〜30代が主力。カルチャーはベンチャー色強め
・「経営力が身につく」という訴求は共感型・成長意欲の高い候補者に刺さる
・NG評価ポイントとして「内向き・安定志向・指示待ち」は合わない</t>
  </si>
  <si>
    <t>出典：求人票（ゼネラル・パーチェス株式会社）　※エージェントメモは求人票記載外の情報を含む</t>
  </si>
  <si>
    <t>求人票データ｜株式会社アシュアード</t>
  </si>
  <si>
    <t>事業開発（インサイドセールス）／Visionalグループ／サイバーセキュリティ領域</t>
  </si>
  <si>
    <t>・顧客折衝業務の経験（業種・年数不問）</t>
  </si>
  <si>
    <t>・法人営業またはインサイドセールス経験
・他職種と連携しながら施策実行・改善活動の経験</t>
  </si>
  <si>
    <t>クラウドセキュリティ評価サービス「Assured」のインサイドセールスを担当。
主な業務：
・新規リードの商談化（電話・メール・手紙でのアプローチ）
・失注先リードの掘り起こし
・マーケティングチームと連携したホットリード施策の検討・実行・改善
・セールスと連携した商談機会創出施策の推進
・採用活動の一部も担当
※部門・体制強化のための募集</t>
  </si>
  <si>
    <t>・Assuredのミッション「信頼で、未知を拓く。」に共感できる人
・不確実な環境でサービスを成長させることを楽しめる人
・泥臭い事業立ち上げにチャレンジしたい人
・まだ市場のない領域に新たな価値を作りたい人
・自発的に学び、周囲に共有できる人
・職能を超えたコミュニケーションを大切にできる人
・スピード感を持って課題解決を推進できる人</t>
  </si>
  <si>
    <t>【スタートアップ・ミッション共感型】
・セキュリティ業界未経験でも可だが、B2B SaaS・IS経験者は歓迎
・Visionalグループ発スタートアップのため、ブランド訴求は強め
・「まだ世の中にないものを広げたい」という動機の人材が向く
・フレックス・ハイブリッドワーク（週3出社）と働き方の柔軟性が強み
・年齢・学歴より成長意欲とミッション共感を重視</t>
  </si>
  <si>
    <t>504万〜805万円
月給：360,000〜575,000円（固定残業40時間分含む）
賞与：原則年2回（業績連動）
査定：原則年2回
フレックスタイム制（コアタイムなし）
週3出社・週2在宅のハイブリッドワーク</t>
  </si>
  <si>
    <t>【公式NG記載なし。以下は実務上の懸念点】
・顧客折衝経験が全くない人（Must条件）
・スタートアップ特有の不確実性・曖昧さが苦手な人
・「安定重視・変化を嫌う」タイプは社風とミスマッチになりやすい
・試用期間6ヶ月あり
・在籍期間が極端に短い転職歴が複数ある場合は懸念される可能性あり</t>
  </si>
  <si>
    <t>・Visionalグループ（BizReach系）のスタートアップで採用ブランドは強い
・T2D3を超える成長率と謳っており、サービス成長フェーズのため裁量大きい
・IS職だが「採用活動も担当」とあるため、守備範囲の広さに対する柔軟性が必要
・「世の中にないサービスを最前線で広げる」という訴求は、挑戦志向の候補者に刺さる
・フレックス×ハイブリッドワークは、仕事と生活のバランスを求める候補者への訴求点になる
・NG評価ポイント：「指示待ち・受身・手順通りに動きたい人」は合わない</t>
  </si>
  <si>
    <t>出典：求人票（株式会社アシュアード）2025/08/19版　※エージェントメモは求人票記載外の情報を含む</t>
  </si>
  <si>
    <t>求人票データ｜株式会社リクルートスタッフィング</t>
  </si>
  <si>
    <t>【MS有期】派遣営業職／新橋・新宿・立川／未経験歓迎</t>
  </si>
  <si>
    <t>33歳以下のみ
営業・接客系経験、マネジメント経験もしくは以下のような折衝経験が必須（社外の方とコミュニケーションもあればOK）
看護師、グランドスタッフ、教員、公務員（市役所窓口など）、社外調整が必要な企画職、対社内業務のみでも品質管理などの他部署との折衝があるものであればOK
※また自衛隊、消防士などの折衝が少ない業務でも、中学～大学までで体育会系の経験が6年以上あればOK</t>
  </si>
  <si>
    <t>・法人・個人問わず営業経験がある方</t>
  </si>
  <si>
    <t>人材派遣の法人・個人両面営業。
・法人側：クライアント企業への人的課題ヒアリング → 派遣求人条件ヒアリング → 派遣スタッフ紹介 → 職場見学の実施 → 就業後フォロー
・個人側：派遣スタッフとの面談 → マッチング → 就業中の調整
★既存顧客・新規顧客の比率は配属ユニットにより異なる（経験・適性に応じて判断）
※1日の流れ例：9:30新規TEL→10:00アポ先直行→11:30事務処理→13:30スタッフ面談→16:00職場見学→20:00退社</t>
  </si>
  <si>
    <t>F</t>
  </si>
  <si>
    <t>・ひとに向き合うことが好きな方
・「ホスピタリティを活かして働きたい」
・「多様な価値観にふれることが好き」
・「自分だからこそできる価値を提供したい」
・「とにかく成長したい、成果を出したい」という思いを持つ人</t>
  </si>
  <si>
    <t>【サービス業経験者・ホスピタリティ重視型】
・接客・販売職からのキャリアチェンジが非常に多い層
・営業未経験でも接客経験があれば応募可能
・リクルートグループのブランドと福利厚生が訴求力
・雇用形態は「契約社員（MS有期）」スタートで最長3年、無期登用選考あり
・転勤なし（転勤なし希望者向け）だが無期登用後は転勤ありになる点に注意</t>
  </si>
  <si>
    <t>月給298,500円〜（固定残業40時間分76,300円含む）
想定年収：460万円〜
賞与：年2回（6月・12月）業績連動
インセンティブ：年2回追加あり
★雇用形態は契約社員（最長3年、6ヶ月更新）。試用期間なし。
※無期登用制度あり（選考あり）</t>
  </si>
  <si>
    <t>【公式NG記載なし。以下は実務上の懸念点】
・接客・販売経験ゼロはMust条件に抵触する可能性あり
・契約社員スタートのため、正社員にこだわりが強い候補者には事前説明が必要
・無期登用後は転勤あり（転勤NG候補者は要注意）
・残業月25〜35時間は発生するため、残業ゼロ希望者には合わない
・年2回のキックオフで土曜出社あり（4月・10月）
・選考にSPIあり（言語・非言語・性格検査）</t>
  </si>
  <si>
    <t>・リクルートグループの安定感・ブランド力が強い訴求になる
・「MS（ミッションスタイル）」という成果型の制度で、GAB/GIBなどインセン制度充実
・Will-Can-Must制度で個人のキャリア希望を言語化する文化がある
・フレックス（コアタイムなし）・リモートワーク可で働き方の柔軟性はある
・接客→人材営業のキャリアチェンジとして「ひとの人生に携わる仕事」という訴求が刺さる層に向く
・女性活躍推進（えるぼし認定、女性管理職36.9%）は女性候補者への訴求になる
・NG評価ポイント：「一人で黙々とやりたい・対人が苦手」なタイプはミスマッチ</t>
  </si>
  <si>
    <t>出典：求人票（株式会社リクルートスタッフィング）　※エージェントメモは求人票記載外の情報を含む</t>
  </si>
  <si>
    <t>求人票データ｜X Mile株式会社</t>
  </si>
  <si>
    <t>CA（キャリアアドバイザー）／ノンデスク業界特化型人材紹介／営業経験2年以上</t>
  </si>
  <si>
    <t>・営業経験2年以上
・正社員としての就業経験2年以上
・PCスキル（タイピング・Word・Excel等）
※上記条件を満たさない場合も相談可</t>
  </si>
  <si>
    <t>・新規開拓営業経験2年以上
・営業またはCAの経験1年以上</t>
  </si>
  <si>
    <t>ノンデスク業界（物流・運送・建設・製造等）特化の人材紹介CAポジション。
主な業務：
・電話・メール・SMSで1日5〜6名の転職希望者と面談
・人材を募集している企業との商談・採用コンサルティング
・求職者への電話面談・企業紹介・面接サポート・内定後フォロー
・事業開発・市場調査
★裁量権が大きく、スキルに応じて業務範囲を拡張可能
★1人立ち後は新規事業企画・業務効率化・既存売上向上にも関われる</t>
  </si>
  <si>
    <t>・CAとしてさらにステップアップしたい人
・情熱を持って何かを成し遂げようと取り組む人
・常に向上心を持ち業務効率化を図れる人
・感覚ではなく数字的根拠で話せる人
・将来的にマネージャーとして複数人をマネジメントしたい人</t>
  </si>
  <si>
    <t>【成長ベンチャー志向・キャリアアップ型】
・人材業界経験者（CA/RA）またはそれ同等の営業経験者がターゲット
・「令和を代表するメガベンチャーを創る」というミッションへの共感が前提
・ノンデスク業界（物流・建設等）はニッチだが市場が広く競合が少ない
・マネージャー志向が強い、スピード昇進を求める候補者に向く
・近所手当（3km圏内2万円/月）など福利厚生でユニークな施策あり</t>
  </si>
  <si>
    <t>420万〜700万円
CA平均年収：545万円（2023年度実績）
賞与：年2回
残業：月30時間程度
近所手当：3km圏内に在住で月2万円（東京）
子ども手当：お子様1人につき月1万円</t>
  </si>
  <si>
    <t>【公式NG記載なし。以下は実務上の懸念点】
・営業経験2年未満はMust条件に抵触（要相談とあるが通りにくい可能性あり）
・正社員経験2年未満も同様
・リファレンスチェックを行う場合があると明記あり（転職回数・在籍期間は精査される）
・ノンデスク業界専門のため、「幅広いジャンルの人材紹介をしたい」候補者には合わない
・試用期間6ヶ月あり
・スタートアップのため制度・環境の変化が大きい可能性あり</t>
  </si>
  <si>
    <t>・物流2024年問題の追い風を受けており、成長ドライバーが明確で説明しやすい
・ドライバー候補者は15〜16時終業が多く、CA側の働き方も比較的整いやすい（残業月1時間が8割）
・「令和のメガベンチャー」を自称しており、スピード昇進・裁量重視の文化
・数字で語れる・感覚ではなくロジックで動ける人材を強く求める傾向
・「候補者の懐に入る力」「市場情報収集力」が成果のカギと自社で言及しており、実力主義の環境
・NG評価ポイント：「指示を待ちたい・安定志向・数字が苦手」なタイプはミスマッチ</t>
  </si>
  <si>
    <t>出典：求人票（X Mile株式会社）　※エージェントメモは求人票記載外の情報を含む</t>
  </si>
  <si>
    <t>求人票データ｜株式会社BREXA Technology</t>
  </si>
  <si>
    <t>ITエンジニア（未経験歓迎）／プロ講師育成前提／SES・常駐型</t>
  </si>
  <si>
    <t>・経験・学歴・IT資格・知識 一切不問（完全未経験歓迎）
・第二新卒・ブランク・社会人デビューも可
・「ITエンジニアとして成長したい・長く活躍したい」という意欲と学ぶ姿勢があること</t>
  </si>
  <si>
    <t>・ITや手に職に興味がある人
・正社員として安定した収入を得たい人
・新しいことに挑戦し前向きに成長できる人
・社会貢献を実感できる仕事で自信を持って働きたい人</t>
  </si>
  <si>
    <t>未経験からITエンジニアへ。SES（客先常駐型）のエンジニアとして育成・配属。
【入社後の流れ】
①導入研修（ビジネスマナー・社内システム・基礎プログラミング）
②グループ会社の技術育成専門会社での研修（1〜2ヶ月）：IT基礎〜資格取得
③プロジェクト配属（先輩エンジニアとのチーム制でスタート）
④独り立ち後も勉強会・リスキリング研修で継続スキルアップ
配属先例：金融機関システム運用、電力会社サーバ監視、セキュリティエンジニアなど
★アプリ・インフラどちらのキャリアも選択可能</t>
  </si>
  <si>
    <t>・ITエンジニアとして成長・長く活躍したい意欲のある人
・素直に学べる・フィードバックを吸収できる人
・前職経験問わず（保育士・看護師・自衛隊・教員など多様な前職実績あり）</t>
  </si>
  <si>
    <t>【完全未経験・ポテンシャル重視型】
・学歴・IT知識・資格は一切不問で間口は業界最広レベル
・20代前半〜30代前半の「手に職をつけたい」層が主なターゲット
・前職が保育士・介護士・警察・自衛隊・教員など「異色の経歴」でも歓迎
・SES（常駐型）のため配属先は選べないことへの理解が必要
・グローバルグループ（世界30カ国以上・約12万名）の安定感を訴求できる</t>
  </si>
  <si>
    <t>入社時：350万円〜（関東）、330万円〜（その他）
月給：215,000円〜（関東）、205,000円〜（その他）
賞与：年2回（7月・12月）
昇給：年1回（4月）
資格取得で月給1万円昇給
残業：月平均11時間（1分単位全額支給）
【年収例】27歳3年目：450万、30歳7年目：650万、35歳12年目：800万</t>
  </si>
  <si>
    <t>・SES（客先常駐型）のため配属先・プロジェクトを自分で選べない
・配属先によってはプロジェクト転勤の可能性あり（希望考慮はするが保証なし）
・入社時年収は低め（350万〜）のため、現年収が高い候補者への提示は注意
・研修中・独り立ち後も継続的なスキルアップが必要で自己学習意欲が必須
・試用期間3ヶ月あり（待遇変更なし）
・転職回数より「成長意欲・素直さ」が重視されるが、短期離職の繰り返しは懸念される可能性あり</t>
  </si>
  <si>
    <t>・完全未経験OKの間口の広さは最大の武器。前職異色経歴でもアプローチしやすい
・研修制度が充実（資格取得支援297種類・20拠点435研修）で育成への本気度は高い
・残業月11時間・年休123日・土日祝休みはワークライフバランス訴求に使える
・「世界30カ国・12万名・売上1,777億円グループ」の安定基盤は安心感になる
・SESのため配属先が固定されないことへの納得感形成が選考前に必要
・NG評価ポイント：「特定技術の専門家になりたい・配属先を指定したい・すぐ高収入が欲しい」タイプは合わない</t>
  </si>
  <si>
    <t>出典：求人票（株式会社BREXA Technology）　※エージェントメモは求人票記載外の情報を含む</t>
  </si>
  <si>
    <t>求人票データ｜株式会社ジールコミュニケーションズ</t>
  </si>
  <si>
    <t>【渋谷】法人営業（RA）／新卒・第二新卒特化採用支援／体育会系カルチャー</t>
  </si>
  <si>
    <t>・社会人経験3ヶ月以上（業種・職種不問）
・最終学歴：高校卒以上（大学院・大学・短大・専門・高専・高校）
・業界未経験・職種未経験歓迎（25卒含む）</t>
  </si>
  <si>
    <t>・営業職・販売職の経験
・部活動・アルバイトで何かに打ち込んできた経験
・体育会系バックグラウンド（社長が元Jリーガーのため独自ネットワーク活用可）</t>
  </si>
  <si>
    <t>新卒・第二新卒特化の就職支援サービスの法人担当（RA）業務。
主な業務：
・企業へのテレフォンアポイント（最大100件/日）
・企業訪問・商談・採用コンサルティング
・採用ニーズヒアリング → 最適なサービス提案
・担当クライアント：30〜100社規模
・商談：新規5件/週（2年目目標）
・月間決定目標：4〜5件
★体育会・部活経験学生を中心に企業へ紹介する独自ネットワークが強み</t>
  </si>
  <si>
    <t>・実績を正当に評価されたい人
・評価・実績に合った報酬が欲しい人
・未経験から営業に挑戦したい人
・同世代の仲間と切磋琢磨しながら成長したい人
・前向きにチャレンジを楽しめる人</t>
  </si>
  <si>
    <t>【体育会系・ガツガツ成果型・若手ベンチャー志向】
・社長が元Jリーガーで体育会カルチャーが強め
・平均年齢28歳と若く、同世代で切磋琢磨できる環境
・「早く役職・高収入を取りに行きたい」という動機の強い候補者に向く
・HR事業とデジタルリスク（風評被害対策）事業を持つユニークな会社
・第二新卒・未経験歓迎で間口は広い</t>
  </si>
  <si>
    <t>319万〜420万円（入社時）
月給：266,000〜350,000円（固定残業45時間分含む）
インセンティブ：年4回（全体の80%に平均数十万円支給）
昇給：年1回
【モデル年収】
・2年目チーフ：480万円
・4年目サブマネージャー：720万円
※ライフプラン手当53,000円、住宅手当15,000円（最寄駅3駅以内）あり</t>
  </si>
  <si>
    <t>・固定残業45時間分込みの給与設定（業界水準として残業多め）
・テレアポ最大100件/日と行動量が求められる（ガツガツ系が前提）
・体育会カルチャーが強いため、穏やかな環境を好む候補者には合わない
・社会人経験3ヶ月〜と短くてもOKだが、超短期離職（1〜2ヶ月）は懸念される可能性あり
・非上場・中小規模（300名）のため安定志向の強い候補者には響かない場合がある
・入社直後は1日の業務の比重がほぼテレアポ</t>
  </si>
  <si>
    <t>・元Jリーガー社長という珍しい出自でスポーツ・体育会学生のネットワークが強み
・HR×デジタルリスク（風評被害対策）の2軸事業は競合と差別化しやすい独自ポジション
・「実績＝評価」の文化で入社4ヶ月で役職就任実績もあるほど昇進スピードが速い
・年4回インセンティブで80%以上に数十万円支給は、稼ぎたい層への強い訴求になる
・平均年齢28歳で「同世代の仲間と成長」できる環境は、若手候補者への共感フックになる
・NG評価ポイント：「ゆっくりじっくり働きたい・テレアポが苦手・数字プレッシャーが嫌」なタイプは合わない</t>
  </si>
  <si>
    <t>出典：求人票（株式会社ジールコミュニケーションズ）　※エージェントメモは求人票記載外の情報を含む</t>
  </si>
  <si>
    <t>求人票データ｜株式会社ウィルオブ・コンストラクション</t>
  </si>
  <si>
    <t>【未経験】建設現場サポート事務／東証プライム上場ウィルグループ／全国47都道府県</t>
  </si>
  <si>
    <t>・普通自動車免許（AT限定可）※一部免許なし可能エリアあり
・未経験者大歓迎（業種・職種不問）
・外国籍の場合：永住権または定住権を持つ方</t>
  </si>
  <si>
    <t>・転職回数が多く次の転職に不安な方
・安定した会社で長く働きたい方
・チームで取り組むのが好きな方
・ワークライフバランスを大切にしたい方</t>
  </si>
  <si>
    <t>建設現場のプロジェクトを支える管理・事務業務。
主な業務：
・建物の写真撮影
・各種データ入力
・日報・報告書の作成
・プロジェクトのスケジュール調整
・電話・来客対応
・現場スタッフの勤務管理・指示だし
★業務の大半は写真撮影・データ入力・電話対応（事務作業中心）
★大手企業直接取引がメイン。満足度94%の研修あり。
★150以上の資格から選んで給与アップ可能（講習受講だけで数千円/月UP）</t>
  </si>
  <si>
    <t>・長く安定して働きたい人
・資格を取りながらキャリアアップしたい人
・チームで何かに取り組むのが好きな人
・将来も必要とされるスキルを身につけたい人
・転職回数が多くても歓迎（NG条件なし）</t>
  </si>
  <si>
    <t>【安定志向・未経験歓迎・転職回数不問型】
・事務職・管理補助職を希望する幅広い層
・転職回数が多くても応募可能と明記しており、多回転職者に配慮あり
・全国47都道府県でエリア選択可（通勤限定も可）
・グループ内転籍制度ありで長期キャリアを描きやすい
・東証プライム上場のウィルグループ子会社で安定感の訴求が可能</t>
  </si>
  <si>
    <t>300万〜360万円（エリアにより月給が異なる）
【関東】月給250,000〜300,000円（固定残業30時間分含む）
【中部・関西】月給240,000〜300,000円
【中四国・北海道・東北・九州】月給215,000〜300,000円
【年収イメージ】
・21歳2年目：344万円
・27歳5年目：520万円
・31歳8年目：690万円
賞与：年2回　年間休日：121日</t>
  </si>
  <si>
    <t>・普通自動車免許が必須（一部エリアを除く）→ 免許なし候補者は配属先限定
・配属プロジェクトによって転勤・勤務環境が異なる（事前確認必要）
・シフト制（週休は非定例）のため、曜日固定希望者には合わない場合あり
・退職金制度なし
・雇用形態は正社員だが業務の大半は事務作業のため、営業志向の人には物足りない可能性</t>
  </si>
  <si>
    <t>・「転職回数が多い方も歓迎」と求人票に明記しており、多回転職者への間口が業界内でも広め
・講習受講だけで給与UP（資格手当）の制度はモチベーション訴求に使いやすい
・社宅あり（無料）はUターン・Iターン転職やコスト重視の候補者への訴求になる
・面接回数1回・最短1日内定実績あり → スピード転職希望者向け
・建設業界のため景気変動の影響は比較的受けにくい安定感がある
・グループ内転籍制度で「ウィルグループ内でのキャリアアップ」も訴求できる
・NG評価ポイント：「外での商談型営業をしたい」「IT・スタートアップ環境を求める」タイプには合わない</t>
  </si>
  <si>
    <t>出典：求人票（株式会社ウィルオブ・コンストラクション）2025/05/05版　※エージェントメモは求人票記載外の情報を含む</t>
  </si>
  <si>
    <t>求人票データ｜株式会社リクルート（飲食・ビューティー領域 KS）</t>
  </si>
  <si>
    <t>ホットペッパービューティー企画営業職／契約社員（正社員登用制度あり）</t>
  </si>
  <si>
    <t>・自ら考え、自ら動くことができる方
・常に学ぶ姿勢があり、成長したい意志がある方
・カスタマーに新しい行動を生み出す「きっかけ」を創りたい方
※約6割が営業職未経験からの入社</t>
  </si>
  <si>
    <t>・営業職や接客販売職など、顧客折衝経験を有する方</t>
  </si>
  <si>
    <t>各地域のヘアサロン・ネイルサロン・エステサロン等に対して「ホットペッパービューティー」の企画営業。
主な業務：
・新規顧客開拓（一部部署は新規のみ）
・既存顧客への提案（経営・集客・業務・採用課題の解決）
・業界動向・地域トレンドの把握と提案への活用
★自身の提案が実際の集客・売上に繋がる醍醐味あり
★美容業界・営業未経験でも先輩のFBを受けながら成長できる環境</t>
  </si>
  <si>
    <t>・自走できる人（指示を待たず自ら動く）
・学び続ける姿勢がある人
・地域のサロン・クライアントに貢献したい人
・新しい挑戦を通じて成長できる人</t>
  </si>
  <si>
    <t>【リクルートブランド志向・自走型・成長意欲型】
・約6割が営業未経験からの入社のため間口は広い
・「リクルート」という圧倒的ブランドが候補者への訴求力になる
・契約社員スタートだが、正社員登用制度（年2回）あり
・全国30都道府県以上の拠点で地方勤務希望者にも対応
・美容業界に関心がある候補者やサロン文化が好きな人に向く</t>
  </si>
  <si>
    <t>359万〜413万円（地域により異なる）
月額固定給：25.8万〜30.2万円（月35時間分の超過勤務手当含む）
賞与：25万円×年2回（6月・12月、業績連動）
【地域別年収例】
・第一地域（南関東）：413万円
・第二地域（関西/東海）：384万円
・第三地域（その他）：359万円
★雇用形態：契約社員（上限3年。終了時キャリアアップ支援金100万円支給）
★年間休日140日・フレックスタイム制</t>
  </si>
  <si>
    <t>・雇用形態は契約社員（最長3年上限）→ 正社員にこだわる候補者には事前説明必須
・同一雇用形態での再契約不可（契約満了後は正社員登用またはキャリアアップ支援金受取り退職）
・車通勤不可（公共交通機関のみ。最寄り駅までの利用も不可）
・選考にSPIあり
・ブロック内での転勤あり（ブロック外は個別同意）
・固定給の月35時間分残業手当が含まれているため、超過残業なしでも「みなし」で計上される</t>
  </si>
  <si>
    <t>・「リクルート」ブランドは説明不要の訴求力。「リクルートで働いた経歴」が将来の転職市場でも強い
・契約満了時の「キャリアアップ支援金100万円」は他社にない制度で希少性あり
・年間休日140日はトップクラスのワークライフバランス訴求になる
・「提案が集客・売上に繋がる」醍醐味は、数字で成果を実感したい候補者に響く
・フレックスタイム制で自律的な働き方を好む候補者向き
・NG評価ポイント：「正社員としての安定を最優先にしたい」「指示通りに動きたい・自走が苦手」なタイプには合わない</t>
  </si>
  <si>
    <t>出典：求人票（株式会社リクルート KS 飲食・ビューティー領域）2025/09/18版　※エージェントメモは求人票記載外の情報を含む</t>
  </si>
  <si>
    <t>求人票データ｜ソフトバンク株式会社（プライム市場）</t>
  </si>
  <si>
    <t>販売クルー／第二新卒歓迎／全国家電量販店・SBコーナー／契約社員→正社員登用</t>
  </si>
  <si>
    <t>・高卒以上
・スマホ・アプリの日常操作ができる程度のITリテラシー
・業種・職種・接客未経験OK、就業ブランクある方も歓迎
・第二新卒・社会人経験10年以上も歓迎</t>
  </si>
  <si>
    <t>・接客経験を活かして働きたい方
・人に何かを教えることが好きな方
・ワークライフバランスを大切にしたい方
・腰を据えて長く働きたい方</t>
  </si>
  <si>
    <t>全国の家電量販店・モール内ソフトバンクコーナーでの接客・契約・イベント運営。
主な業務：
・携帯電話・スマートフォン・各種サービスの案内・販売
・新規契約・機種変更・乗り換え検討者へのご案内
・料金プラン・メリット・注意事項の説明
・購入後の使い方・アプリ提案
★入社後は4日間の入社研修 → 基礎研修 → OJT研修（先輩が横につく）
★チームで目標達成を目指すスタイル</t>
  </si>
  <si>
    <t>・仲間のクルーと協力して前向きに取り組める人
・接客経験を活かしたい人
・長く腰を据えて働きたい人
・人と話すのが好きな人</t>
  </si>
  <si>
    <t>【接客・販売経験者・安定志向・第二新卒型】
・飲食・アパレル・保育士など対人業務経験者がターゲット
・東証プライム上場の直接雇用で安定感を強く訴求できる
・残業平均月10時間・年休123日でワークライフバランス訴求が強み
・全国47都道府県で転居を伴う転勤なし（希望勤務地を最大限考慮）
・最短1年弱での正社員登用実績あり（年2回試験）</t>
  </si>
  <si>
    <t>契約社員時：310万〜400万円
正社員登用後：350万〜800万円
【月収例（東京・神奈川・千葉・埼玉）】
283,000〜310,000円（地域手当32,000円含む）
月給ベース：231,500〜256,500円
賞与：年2回（夏季・冬季）
残業代100%支給（固定残業制ではない）
★正社員になると年間標準賞与5ヶ月分（昨年度実績）</t>
  </si>
  <si>
    <t>・雇用形態は契約社員スタート（6ヶ月更新、通算上限5年）→ 正社員にこだわる候補者には正社員登用制度を説明要
・シフト制勤務（土日祝含む）のため、完全土日休み希望者には合わない
・勤務地は「現住所から片道2時間以内・直線距離50km以内」という規定あり
・試用期間なし（この点はメリット）
・通信業界は月ごとの販売目標（個人・店舗）があり、数字プレッシャーはある</t>
  </si>
  <si>
    <t>・「東証プライム上場・ソフトバンク直接雇用」の安心感は非常に強い訴求ポイント
・残業月10時間・年休123日はオペレーション職としては高水準のWLBを訴求できる
・正社員登用試験は年2回・回数制限なし・例年約100名登用は実績として信頼感がある
・男:女＝6:4で女性も活躍しやすい環境（産休・育休実績あり）
・スマホの知識が不要でOJTが充実しているため「接客スキルは高いがIT知識はない」層でも安心
・NG評価ポイント：「土日完全休み希望・固定シフト希望・ルーティン業務が好き」なタイプには合いにくい</t>
  </si>
  <si>
    <t>出典：求人票（ソフトバンク株式会社）　※エージェントメモは求人票記載外の情報を含む</t>
  </si>
  <si>
    <t>求人票データ｜レバレジーズ株式会社</t>
  </si>
  <si>
    <t>セールスオープンポジション／全事業部（IT・ヘルスケア・若年層・HRTech・コンサル）</t>
  </si>
  <si>
    <t>・大卒以上
・正社員として営業または販売経験もしくはITエンジニア経験1年以上
　（初等・中学・高校教諭免許状保有＋実務1年以上も可）</t>
  </si>
  <si>
    <t>・金融業界、ブライダルプランナー等無形商材での営業経験
・リーダー・マネジメント経験
・アウトバウンド型営業経験
・相対的に高い結果を出した経験</t>
  </si>
  <si>
    <t>以下いずれかの事業部に配属（選考段階で確定）：
・レバテック：ITエンジニア特化型プラットフォーム（「日本を IT先進国に」）
・レバウェル：医療・介護のヘルスケア領域（人手不足解消）
・ハタラクティブ：主に若年層転職サービス
・HRTech事業：SaaS領域のビジネス職
・コンサルティング事業：ITコンサルファーム（DX支援）
★メンバー業務にとどまらず、マネジメントへの早期関与を期待
★社内スカウト・社内公募制度による柔軟なキャリアチェンジが可能</t>
  </si>
  <si>
    <t>・実直で、真面目に目の前の仕事にひたむきに取り組める人
・向上心が高く、様々なことに積極的に挑戦できる人
・個人目標だけでなくチームの目標にも主体的に向き合える人</t>
  </si>
  <si>
    <t>【メガベンチャー志向・マネジメント志向・成長意欲型】
・正社員営業経験1年以上が必須のため、ある程度経験がある候補者がターゲット
・「働きがいのある会社ランキング」6年連続ベストカンパニー（大規模部門）は強い訴求材料
・IT・ヘルスケア・SaaS等の成長領域での仕事に魅力を感じる層
・年収は非公開だが、経験・能力考慮で決定される実力主義
・渋谷スクランブルスクエア本社勤務（アクセス・ブランド面での訴求あり）</t>
  </si>
  <si>
    <t>非公開（経験・能力を考慮の上決定）
★会社規模：年商1,200億円・19年連続黒字経営のメガベンチャー
★創業以来黒字を継続
★年間休日121日以上（土日祝・夏季・年末年始）
★ご近所手当：会社から2駅圏内・東京23区内拠点勤務者に月2万円支給
確定拠出年金・資格取得支援・オンライン英会話無料・ビジネス雑誌読み放題 等</t>
  </si>
  <si>
    <t>・大卒以上必須（学歴条件あり）
・正社員営業経験1年以上が必須（アルバイト・派遣等は不可の可能性）
・配属事業部は選考段階で確定するため、希望事業部に必ずしも配属されるとは限らない
・年収が非公開のため、候補者への提示前に確認が必要
・フレックスなし（9:00〜18:00固定）
・転職回数よりも「ひたむきさ・成果コミット」が重視されるが、短期離職の繰り返しは懸念可能性あり</t>
  </si>
  <si>
    <t>・「19年連続黒字・年商1,200億円」という財務安定性は候補者への安心感として強く訴求できる
・「働きがいのある会社」6年連続は、女性・若手部門でも1位実績あり。働く環境の訴求力が高い
・IT/ヘルスケア/SaaS/コンサルと成長業界での複数事業部を一社で経験できる希少性がある
・社内スカウト・社内公募・キャリアパス多様性は「一つの会社でキャリアの幅を広げたい人」に刺さる
・レバカフェ制度（飲食物無料）・ご近所手当など「細かい福利厚生」の充実も訴求ポイント
・NG評価ポイント：「安定志向でのんびり働きたい」「マネジメントに興味がない」タイプは合いにくい</t>
  </si>
  <si>
    <t>出典：求人票（レバレジーズ株式会社）　※エージェントメモは求人票記載外の情報を含む</t>
  </si>
  <si>
    <t>求人票データ｜大東建託株式会社（プライム市場）</t>
  </si>
  <si>
    <t>営業職／土地活用・建物賃貸事業提案／歩合制・平均年収850万円</t>
  </si>
  <si>
    <t>・高卒以上
・普通自動車免許（社有車貸与）
・業界・営業未経験OK（9割が未経験スタート）</t>
  </si>
  <si>
    <t>・飲食・アパレル・美容師など人と接する仕事の経験者
・自分の力を試したい・チャレンジしたい人
・頑張りに対して正当な報酬を得たい人</t>
  </si>
  <si>
    <t>土地を持っている地主への訪問営業。土地の有効活用（建物賃貸事業）を提案。
主な流れ：
①訪問（複数回。家族と関係構築しながら距離を縮める）
②商談（必ず上司同席。難しい説明は上司が担当）
③契約（成約で高額インセンティブ）
★純粋なフルコミッション型。訪問数を増やすほど高報酬に近づく仕組み
★3ヶ月間の研修あり（未経験でも一人前になるまでサポート）
★入社後6ヶ月間はメンター制度あり</t>
  </si>
  <si>
    <t>・地道な努力ができる人（コツコツと関係構築できる人）
・誠実さを持って人と向き合える人
・高い報酬と引き換えに行動量にコミットできる人
・自分の力を試したい・再スタートしたい人</t>
  </si>
  <si>
    <t>【高収入志向・体力自信あり・行動量コミット型】
・「稼ぎたい・頑張りを収入に直結させたい」動機が強い候補者に向く
・対人折衝が得意で行動量を出せる人（飲食・接客・サービス業経験者が多数活躍）
・完全未経験（9割）でも活躍できる研修体制
・社有車貸与・車通勤OKで地方勤務者も対応可
・転勤は原則なし（管理職は転勤あり）</t>
  </si>
  <si>
    <t>初年度：700万円（目安）
月給：267,000円以上（固定残業35時間分・特別加算手当3万円/1年限定含む）
＋歩合給（全国平均契約金額9,000万円で歩合135万〜225万/件）
＋賞与（年2回・業績連動）
★平均年収：850万円（全従業員8,939名/2020年3月時点）
★年収例：1年目700万→2年目1,300万→3年目2,300万
★新人賞（入社7ヶ月以内：1件50万円）
残業平均月38時間・年間休日125日</t>
  </si>
  <si>
    <t>・普通自動車免許が必須
・歩合制のため、成果がなければ収入は月給ベースのみ（入社初期は収入が不安定）
・月38時間の平均残業（固定35時間分の残業代は含まれているが超過も多い）
・土地オーナーへの訪問営業のため「飛込み・繰り返し訪問」が前提。精神的タフさが必要
・商談には上司が必ず同席する文化のため、自立した営業スタイルを好む人には合わない可能性
・管理職になると転勤あり
・業績不振年度は賞与が下振れする可能性あり</t>
  </si>
  <si>
    <t>・「平均年収850万円・3年目で2,000万円超」のインパクトは稼ぎたい候補者への強烈な訴求ポイント
・東証プライム上場の大手企業でありながら歩合制という珍しい組み合わせ
・訪問営業主体のため「外に出てどんどん動きたい」タイプが向く
・商談上司同席は「未経験者の安心感」と捉えられるが、経験者には「裁量がない」と感じられる場合も
・自社物件入居制度（家賃補助・引越し祝い金）はUIターン候補者への訴求になる
・「地道に関係構築できる誠実な人」という採用軸は、元飲食・接客・美容師の人材が多い
・NG評価ポイント：「内勤希望・安定ベース給を求める・飛込み営業が苦手」なタイプは合わない</t>
  </si>
  <si>
    <t>出典：求人票（大東建託株式会社）　※エージェントメモは求人票記載外の情報を含む</t>
  </si>
  <si>
    <t>求人票データ｜株式会社リクルート_SUUMOカウンター領域</t>
  </si>
  <si>
    <t>【住宅領域】スーモカウンター住宅アドバイザー/カウンター社員</t>
  </si>
  <si>
    <t>・会話のキャッチボールが的確にできる方
・他者に対する貢献にやりがいや喜びを感じられる方
・周囲と協力しながら、チームで仕事に取り組む姿勢のある方
・周囲からのアドバイスを素直に受け止め改善することができる方
・分からないことや不安なことを自己開示し周囲を頼ることができる方
※住宅業界知識不問（メンバーの8割が未経験入社）</t>
  </si>
  <si>
    <t>・相手の表情や言葉の背景など意図をくみ取ろうとすることができる方
・目標に対して最後まで努力できる方
・自身の成長に向けて自ら主体的にPDCAを回せる方</t>
  </si>
  <si>
    <t>スーモカウンターは、注文住宅や新築マンションの購入相談を受け、ご要望を整理しながらカスタマーへ中立的な立場で建築会社や新築マンションをご紹介するサービス。
住宅アドバイザーはカスタマーとクライアントの架け橋となるポジション。
①予約受付（カスタマー自ら来店予約）
②接客（理想の住まいをヒアリング・予算提案・会社紹介）
③フォロー（カスタマー・クライアント間のコミュニケーション調整）
④ご成約（不成約の場合はクライアントへ理由開示・課題解決支援）
残業月平均25時間。土日祝が主な稼働日。</t>
  </si>
  <si>
    <t>・成果で評価されたい・数字にコミットできる人ではなく、カスタマーに寄り添いたい人
・チームで協力する風土に馴染める人
・未経験から住宅業界を学びたい人
・長期的なキャリア形成を見据えている人（育休・時短制度充実）</t>
  </si>
  <si>
    <t>【対人支援型・安定志向型】
・接客・サービス業出身者に親和性が高い
・住宅業界未経験でも知識習得意欲がある人材
・チームワーク重視・称賛文化に共感する人
・子育て中・ライフイベントを見据えた働き方を希望する層にも訴求可</t>
  </si>
  <si>
    <t>344万円〜（試用期間中は月給249,453円）
月給258,500円（基本給200,129円＋職務手当58,371円）
固定残業代：35時間分含む（超過分は別途支給）
賞与：年2回（6月・12月）
昇給：年2回査定
年間休日145日（週休2日・平日休み多め・有給15日入社日付与）</t>
  </si>
  <si>
    <t>【公式NG記載なし。以下は実務上の懸念点】
・土日祝がメイン勤務のため、土日休み希望者は注意
・試用期間6か月（給与やや低め設定）
・固定残業35時間込みのため実質時給は確認要
・個人ノルマなしだが、店舗全体の目標は存在する
・勤務地は全国（希望考慮はあるが転勤可能性あり）</t>
  </si>
  <si>
    <t>・リクルートブランドと「完全反響型」はフックになりやすい
・個人ノルマなし・チーム表彰制度はプレッシャーが苦手な層への訴求ポイント
・育休・時短・ライフイベント対応の充実度は業界トップクラス
・接客型の経験（飲食・アパレル・旅行など）からの転職と相性が良い
・「住宅アドバイザー＝営業」という認識がないと入社後ギャップになりやすい
・年収レンジはやや低め。成果主義で大きく上げるというより安定型</t>
  </si>
  <si>
    <t>出典：求人票（株式会社リクルート_SUUMOカウンター領域）　※エージェントメモは求人票記載外の情報を含む</t>
  </si>
  <si>
    <t>求人票データ｜株式会社エス・エム・エス</t>
  </si>
  <si>
    <t>関東圏_キャリアパートナー</t>
  </si>
  <si>
    <t>・未経験歓迎（営業経験があれば尚可）
・目標達成意欲・マインド・コミット力の強い方
・成長意欲の高い方
・法人・個人双方の顧客への価値提供に尽力できる方
※営業職が苦手・目標数字の達成を求められる仕事は検討していない方は採用対象外</t>
  </si>
  <si>
    <t>・医療・介護・福祉業界への関心・社会貢献意識が高い方
・高速PDCAを回せる方、時間管理が得意な方
・チームで切磋琢磨しながら成長したい方</t>
  </si>
  <si>
    <t>医療・介護・福祉業界における転職・採用支援のマッチング業務（両面型）。
求職者（看護師・介護職・ケアマネ・リハビリ職・栄養士・保育士等）と事業所（病院・介護施設・保育園等）の双方を1名のキャリアパートナーが担当。
1日平均3名の新規求職者対応、月50〜60名担当。月個人目標300〜400万円（決定4〜5名）。
基本は非対面型（電話・メール・LINE・WEB面接ツール）。面接同行・訪問も実施。
勤務地：東京都港区芝公園（住友不動産芝公園タワー）</t>
  </si>
  <si>
    <t>・誠実さを大切にし、社会課題の解決に貢献したい人
・実力主義・透明性の高い評価制度のもとで成果を出したい人
・早期にチームリーダー・マネージャーを目指したい人
・メリハリある働き方（土日休・20:30完全退社）を望む人</t>
  </si>
  <si>
    <t>【社会貢献型・成長意欲型】
・医療・福祉への関心があり、人の役に立つ仕事をしたい層
・人材業界・営業職経験者との親和性が高い
・目標数字にコミットでき、成長スピードを求める20代〜30代前半
・土日休み・残業少なめを望むワークライフバランス重視層にも訴求可</t>
  </si>
  <si>
    <t>360万円〜640万円（関東圏：3,608,464円〜6,408,076円）
原則、現年収同等以上のオファーを想定
競合企業出身者はさらに上乗せオファーの場合あり
賞与：年2回　給与査定：年2回
持株会制度（拠出額に対し10%会社補助）あり
年間休日121日（土日休・有給入社時付与）</t>
  </si>
  <si>
    <t>【公式NG記載なし。以下は実務上の懸念点】
・月個人目標300〜400万円はプレッシャーが強め
・20:30完全退社としているが18時以降が求職者との連絡ピーク帯のため残業が発生しやすい
・両面型のため業務量が多く、慣れるまでの立ち上がり負荷あり
・医療・介護業界の専門知識習得が必要（未経験は研修あり）</t>
  </si>
  <si>
    <t>・19期連続増収増益・医療介護人材市場の成長性はフックになりやすい
・「誠実さ」を企業文化の核に置いており、体育会系の押し付け文化とは異なる
・早期昇格実績（1年以内TL・2〜3年でマネージャー）は成長意欲層への訴求ポイント
・土日休み・完全退社徹底は人材業界の中では働き方整備が進んでいる方
・社会貢献性の高さと実力主義評価の両立訴求が刺さる層に強い
・「目標数字が苦手」な候補者には向かない。面談で早めに確認が必要</t>
  </si>
  <si>
    <t>出典：求人票（株式会社エス・エム・エス）　※エージェントメモは求人票記載外の情報を含む</t>
  </si>
  <si>
    <t>求人票データ｜ほけんの窓口グループ</t>
  </si>
  <si>
    <t>ライフパートナー（店頭営業職）※直営店舗〜業界最大手の保険代理店〜</t>
  </si>
  <si>
    <t>・営業・接客経験が1年以上ある方
※金融経験者・未経験者（人材多様化推進）も歓迎</t>
  </si>
  <si>
    <t>・お客さまのお役に立てる仕事がしたい方
・地域に根付いて活躍したい方
・専門知識を身につけキャリアアップしたい方
・ワークライフバランスを実現させたい方
・金融経験を活かして活躍したい方</t>
  </si>
  <si>
    <t>100%反響営業（来店型）。新規開拓なし。
40社以上の保険商品から中立的に比較・提案するライフパートナー職。
①ご意向の整理（不安・ライフプランヒアリング）
②保険選びの情報提供（シミュレーション作成）
③40社以上の保険商品から比較検討
④ご意向再確認・申し込み手続き
⑤アフターフォロー
個人ノルマなし。チームでお客さまをサポート。
残業月平均約9時間。全国直営店舗（初期配属は希望地域・居住地から90分以内）</t>
  </si>
  <si>
    <t>・お客さまに寄り添い、本当のためになることをしたい人
・地域密着で長く活躍したい人
・金融・保険の専門知識を持ちキャリアアップしたい人
・プライベートと仕事を両立させたい人（育休・時短制度充実）</t>
  </si>
  <si>
    <t>【対人支援型・安定志向型・地域密着型】
・接客・販売・金融業界出身者との親和性が高い
・保険・金融の専門性を身につけたい転職者
・ノルマなし・反響型・チームワーク重視の職場環境を求める層
・U・Iターン希望者や地元で長く働きたい層にも訴求可</t>
  </si>
  <si>
    <t>月給24.3万円〜36.8万円（基本給＋ライフプラン手当）
賞与：年2回（9月・3月）
昇給：年1回
試用期間：2ヶ月
通勤手当（上限なし）・資格取得一時金制度あり
転居を伴う配属の場合：社宅家賃会社負担・転居手当・赴任一時金あり
年間休日123日（月9〜11日シフト制・有給1時間単位取得可）</t>
  </si>
  <si>
    <t>【公式NG記載なし。以下は実務上の懸念点】
・シフト制勤務のため土日休み希望者は注意（平日休みあり）
・勤務時間が店舗により異なる（ショッピングセンター店は9:30〜21:00のシフト制）
・選考プロセスが4段階（書類→WEB面接→適性検査・記述試験→最終面接・筆記試験）と多め
・転勤の可能性あり（希望考慮はされる）
・保険商品の専門知識習得が必要（未経験は約2か月の研修あり）</t>
  </si>
  <si>
    <t>・業界最大手・40社以上の中立提案という安心感はフックになりやすい
・「100%反響型・個人ノルマなし」はプレッシャーが苦手な候補者への強い訴求ポイント
・月平均残業9時間・育休時短充実は働き方重視層に刺さる
・金融・銀行・保険出身者には専門性を活かせる点で親和性が高い
・「保険＝ノルマ・押し売り」イメージを持つ候補者には、来店型・中立提案の違いを丁寧に説明する必要あり
・選考ステップが多いため、候補者の選考離脱リスクを早めにケアすること</t>
  </si>
  <si>
    <t>出典：求人票（ほけんの窓口グループ）　※エージェントメモは求人票記載外の情報を含む</t>
  </si>
  <si>
    <t>求人票データ｜株式会社IDOM</t>
  </si>
  <si>
    <t>【全国】営業職 ～反響営業／インセンティブ制度／社宅制度充実／東証プライム上場～</t>
  </si>
  <si>
    <t>・未経験者歓迎
・普通自動車免許必須
※中途入社者の80%が業界未経験、60%が営業未経験からスタート
※学歴不問（大学院卒〜高卒まで）</t>
  </si>
  <si>
    <t>・現状に満足せず新しいことに挑戦したい方
・自分の成長を促したい方
・インセンティブ制度のもとで稼ぎたい方
・全国転勤可能な方（ナショナル社員）または地元密着で働きたい方（ホーム社員）</t>
  </si>
  <si>
    <t>クルマの購入・売却を目的に来店したお客様への販売・買取・査定業務。
■クルマの販売：在庫共有システム「ドルフィネット」を活用し、顧客要望に合った車を提案。
■クルマの買取・査定：査定システム「カンタン査定表」に基づき適正金額を提示・交渉。
入社後2週間の研修プログラムあり（ビジネスマナー〜IT システム操作まで）。
勤務時間：10:00〜20:00（シフト制・実働8時間）。年間休日120日・完全週休2日制。</t>
  </si>
  <si>
    <t>・「挑む（IDOM）」の姿勢で現状打破に積極的な人
・インセンティブで成果を収入に直結させたい人
・全国展開のインフラを活かしたキャリアを描ける人
・車が好き・接客が好きな人（業界知識は入社後習得可）</t>
  </si>
  <si>
    <t>【成果主義型・ポテンシャル重視型】
・飲食・アパレル・サービス業出身者との親和性が高い
・業界・営業ともに未経験からスタートできる間口の広さ
・社宅・引越費用全額負担は地方出身者・転勤可能な人材への訴求ポイント
・インセンティブ最大140万円（4か月ごと）は稼ぎたい層に強く刺さる</t>
  </si>
  <si>
    <t>入社時：年収405万円〜
セールスリーダー：585万円〜
店長昇格：645万円〜
月給23万〜35万円＋インセンティブ（固定残業20時間分4.5万円〜含む）
賞与：年2回
社宅制度：家賃補助（居住1〜2年目50%、3年目35%、以降逓減）
引越費用全額会社負担・敷金礼金会社負担</t>
  </si>
  <si>
    <t>【公式NG記載なし。以下は実務上の懸念点】
・普通自動車免許が必須（未取得者は応募不可）
・勤務時間10:00〜20:00のシフト制で土日出勤あり（土日休み希望者は注意）
・転勤範囲の選択制（ホーム/エリア/ナショナル）は入社後変更可だが、昇格とリンクする可能性
・固定残業20時間込みのため実質時給の確認が必要
・試用期間4か月（待遇変更なし）</t>
  </si>
  <si>
    <t>・東証プライム上場・ガリバーブランドの安心感はフックになりやすい
・「反響営業×インセンティブ」の組み合わせは稼ぎたい×プレッシャー苦手層に訴求しやすい
・社宅・引越費用全額負担の福利厚生は地方出身者や転居をいとわない人材に刺さる
・車好き・接客経験者・未経験者の受け皿として間口が非常に広い
・昇格スピードはパフォーマンス次第で早い（店長→店舗規模手当最大月10万円）
・シフト制・土日出勤は「休日の固定を重視する層」にはミスマッチになりやすい</t>
  </si>
  <si>
    <t>出典：求人票（株式会社IDOM）　※エージェントメモは求人票記載外の情報を含む</t>
  </si>
  <si>
    <t>求人票データ｜株式会社UZUZ</t>
  </si>
  <si>
    <t>【新宿】CA（キャリアアドバイザー）◇既卒・第二新卒特化の人材紹介</t>
  </si>
  <si>
    <t>・販売・サービスまたは営業経験（個人・法人不問）を1年以上お持ちの方
※業種・職種未経験歓迎
※学歴不問</t>
  </si>
  <si>
    <t>・第二新卒・既卒の就職支援に本気で向き合いたい方
・求職者の可能性を掘り下げることにやりがいを感じられる方
・早期にリーダー・マネージャーへキャリアアップしたい方
・副業・私服勤務などの自由度ある職場環境を求める方</t>
  </si>
  <si>
    <t>既卒・第二新卒に特化した人材紹介事業にて、求職者への求人案内・面談練習・スキルアップ支援・内定後フォローまでを一貫して担当するCAポジション。
集客業務なし（YouTube/SNSによる集客済み・日程調整も別担当）。
目の前の求職者に向き合うことに専念できる環境。
組織：CA30名・RA5名の計35名（大阪メンバー6名含む）。20〜30代中心。
勤務：週1〜2回夜間面談対応あり（12:00〜21:00）。平均残業30時間。</t>
  </si>
  <si>
    <t>・求職者の「本当にやりたいこと」を徹底的に掘り下げられる人
・マメな連絡・フォローが苦にならない人
・半年〜1年でリーダーを目指せる成長意欲のある人
・副業OKや私服勤務など自由な働き方に魅力を感じる人</t>
  </si>
  <si>
    <t>【社会貢献型・成長意欲型・自由度重視型】
・接客・販売・営業経験者との親和性が高い
・「若者の就職支援」というミッションに共感できる人
・集客不要・面談特化という環境を求める人
・有給取得率90%以上・副業OKなど働き方の自由度を重視する層に訴求可</t>
  </si>
  <si>
    <t>400万円〜700万円
月給259,880円〜434,440円（基本給198,000円〜331,000円＋固定残業手当40時間分）
超過残業代は別途支給
給与改定：年2回（8月・2月）
賞与：年2回（8月・12月）※個人業績連動
有給取得率90%以上・年間休日125日（土日祝）</t>
  </si>
  <si>
    <t>【公式NG記載なし。以下は実務上の懸念点】
・週1〜2回の夜間勤務（12:00〜21:00）は生活リズムが合わない人には負担
・平均残業30時間はCA職としては標準的だが確認が必要
・固定残業40時間分込みの給与提示のため実質時給は確認要
・非上場・従業員90名の規模感（安定志向層には不安要素になりえる）
・既卒・第二新卒ターゲットのため紹介できる求人層が限定的</t>
  </si>
  <si>
    <t>・YouTube就活チャンネルトップクラスの集客力は「営業なし・面談特化」として強いフック
・有給取得率90%超・副業OK・私服勤務は働き方重視層への訴求ポイント
・ホールディングス化による役員・グループ会社へのキャリアパスは成長意欲層に刺さる
・出産祝い金（3人目100万円・4人目222万円）など家族支援制度がユニークで話題になりやすい
・「若者の就職支援」という社会的ミッションに共感できる候補者に向いている
・夜間面談対応や残業30時間は事前に候補者に共有しておくことが重要</t>
  </si>
  <si>
    <t>出典：求人票（株式会社UZUZ）　※エージェントメモは求人票記載外の情報を含む</t>
  </si>
  <si>
    <t>求人票データ｜株式会社ボードルア</t>
  </si>
  <si>
    <t>【未経験OK】上流案件急増中企業のインフラエンジニア職｜東証マザーズ上場｜研修充実・資格取得100%</t>
  </si>
  <si>
    <t>・学歴・社会人経験不問
・未経験・第二新卒・既卒も歓迎
※大学、大学院（修士・博士）卒対象</t>
  </si>
  <si>
    <t>・上昇志向がある方
・20代のうちに手に職をつけたい方
・同世代と切磋琢磨しながら成長したい方
・ITインフラ（ネットワーク・サーバー・クラウド）に興味がある方</t>
  </si>
  <si>
    <t>ITインフラ（ネットワーク・サーバー・クラウド）に特化したシステムインテグレーターにてインフラエンジニアとして従事。
入社後はまずCCNA（Cisco技術者認定資格）取得を目指す。全社員がCCNAを保有。
・研修：社会人基礎〜ITの基礎まで先輩によるマンツーマン指導（約3か月で一人前を目標）
・一人前になった後は本社またはプロジェクト先にて実務（金融・交通・保険・飲食・放送・機器メーカー等幅広い業界）
勤務地：東京都港区赤坂（ミッドタウン・タワー37階）最寄：六本木駅直通</t>
  </si>
  <si>
    <t>・IT未経験でも「手に職をつけたい」という強い意志がある人
・20代のうちに専門スキルを身につけ将来的に市場価値を高めたい人
・チームで切磋琢磨しながら成長したい人
・明るい社風・若い組織（平均年齢27歳）に馴染める人</t>
  </si>
  <si>
    <t>【スキルアップ志向型・未経験IT転職層】
・文系出身・IT未経験からエンジニアを目指す第二新卒・既卒層
・「手に職をつけたい」「専門スキルを身につけたい」動機が強い人材
・平均年齢27歳の若い組織に馴染める20代中心層
・将来的な上場企業でのキャリアや株式上場フェーズへの参加を魅力に感じる層</t>
  </si>
  <si>
    <t>248万円〜400万円
基本給171,022円〜／月
月給例：大学卒207,000円〜（一律手当含む）
固定残業代：月20時間分26,071円以上・深夜38時間分9,907円以上含む
【モデル年収】2年目300〜350万円、4年目400〜450万円、6年目500万円以上
昇給：年2回（3年目まで）・4年目以降年1回
賞与：インセンティブ賞与あり・年1回（2年目以降）
資格取得費全額補助あり</t>
  </si>
  <si>
    <t>【公式NG記載なし。以下は実務上の懸念点】
・研修後の配属先がプロジェクト先になる場合あり（常駐勤務）
・変形労働シフト制の可能性あり（研修後配属による）
・固定残業（みなし残業20時間）込みのため実質時給の確認が必要
・年収レンジが比較的低め（特に入社初期）
・未上場から上場準備中のフェーズであり、将来的な安定性は確認要</t>
  </si>
  <si>
    <t>・「全社員CCNA取得100%・資格費全額補助」は未経験エンジニア志望者への最大の訴求ポイント
・東証マザーズ（現グロース）上場・ミッドタウン本社勤務は若い候補者へのブランド訴求に有効
・平均年齢27歳・文系出身7割・20代リーダー多数は「若い組織で成長したい」層に刺さる
・マンツーマン研修・プチ社食・リフレッシュルームなど生活サポートが充実
・IT未経験での転職希望者（文系・サービス業からの転職）との相性が非常に良い
・年収レンジは低めのため、現年収が高い候補者には慎重に確認が必要</t>
  </si>
  <si>
    <t>出典：求人票（株式会社ボードルア）　※エージェントメモは求人票記載外の情報を含む</t>
  </si>
  <si>
    <t>求人票データ｜株式会社ワークポート</t>
  </si>
  <si>
    <t>【全国】＜完全未経験OK＞キャリアアドバイザー／リクルーティングアドバイザー｜新人研修部署あり！</t>
  </si>
  <si>
    <t>・社会人経験1年以上
※業界・職種不問（携帯販売、ブライダル、教師など活躍事例多数）</t>
  </si>
  <si>
    <t>・顧客折衝経験がある方
【人物面】
・他者の意見を素直に聞ける方
・人に頼られることにやりがいを感じる方</t>
  </si>
  <si>
    <t>個人営業（CA）または法人営業（RA）のいずれかを担当。
■CA：転職希望者のキャリアビジョンヒアリング、応募書類添削、面接対策など転職活動全般をサポート。
■RA：経営者・人事に採用戦略を提案。人材要件ヒアリング、人材紹介、面接調整などコンサルティング全般。
※配属はCA・RAともに面接と研修での適性を見て判断。</t>
  </si>
  <si>
    <t>・他者の意見を素直に受け入れ実践できる方（素直さ・柔軟性）
・人に寄り添い、頼られることにやりがいを感じる方
・誠実に人と向き合える方
・顧客志向と目標達成志向のバランスが取れる方（どちらかに偏りすぎない）</t>
  </si>
  <si>
    <t>【誠実さ重視・ポテンシャル型】
・20代中心（21〜32歳）、社会人経験1年以上
・業界・職種不問（携帯販売、ブライダル、教師など多様な出身者）
・30歳以上は営業経験マスト
・転職回数：28歳以下2回まで、29歳以上3回まで
・平均年齢29.1歳の若い組織（2024年度）</t>
  </si>
  <si>
    <t>420万〜600万円
月給：260,000円〜（基本給198,000円＋固定残業代62,000円含む）
全国コース：月給290,000円〜（基本給220,000円＋固定残業代70,000円含む）
賞与：年4回（業績により決算賞与有）
インセンティブ：月次・四半期など（年間最大171万円の支給例あり）
【年収例】入社3年目メンバー540万、シニアリーダー600万、入社5年目リーダー630万</t>
  </si>
  <si>
    <t>【エージェント限定情報】
・年齢：32歳まで（30歳以上は営業経験必須）
・転職回数：28歳以下2回まで、29歳以上3回まで
・国籍：日本国籍のみ
・精神疾患（適応障害等）をお持ちの方はNG
・残業不可・時間的制約のある方はNG
・リモート勤務希望者はNG
・対面面接マスト（選考中1回は必ず対面）</t>
  </si>
  <si>
    <t>・「会えるエージェント」を重視する文化。対面での印象・清潔感・コミュニケーション力を重視。
・価値観の一致を最重視（売上実績より誠実さ・人への態度を重視）
・最終面接でのお見送りは「顧客志向と営業志向のバランス」に起因することが多い。販売サービス出身者は「人材ドリーマー」イメージが強くなりがちで、数字を追えるかを問われる。
・素直さ・当事者意識が評価の鍵。他責発言はNG。
・研修部門あり、新人教育体制が整っている（同期と共に研修）。
・育休復帰率95.8%、年間休日123日など働き方良好。</t>
  </si>
  <si>
    <t>出典：求人票（株式会社ワークポート）　※エージェントメモは求人票記載外の情報を含む</t>
  </si>
  <si>
    <t>求人票データ｜株式会社GENOVA</t>
  </si>
  <si>
    <t>メディカルプラットフォーム営業職</t>
  </si>
  <si>
    <t>・特になし（スキル・経験不問）
【求める人物像】
・人・組織の成長に興味がある方
・努力し続けられる方
・チームワークを重視できる方
・成果にこだわれる方
・営業を極めて人間力を高めたい方
・経営目線を学びたい方
・具体的なキャリアプランがある方
・圧倒的に成長したい方</t>
  </si>
  <si>
    <t>・営業経験者（業種不問）
・医療業界への関心がある方
・ベンチャー・成長環境を求める方
・インセンティブで高収入を目指したい方</t>
  </si>
  <si>
    <t>医療機関（歯科医院・クリニック・整骨院）向けに、医療情報サイト「Medical DOC」およびAIチャットボット「NOMOCA AI」を提案する法人営業職。
電話アポイント→ヒアリング→企画立案→提案・プレゼンという流れで営業活動を行う。
患者集客・業務効率化・リピート促進などの課題解決を提供。
商材はAI・DX領域で成長性が高い。</t>
  </si>
  <si>
    <t>・成長意欲・向上心が強い方
・実力主義の環境で稼ぎたい方
・若いうちに裁量を持って働きたい方
・医療×ITという成長市場に関わりたい方</t>
  </si>
  <si>
    <t>【成長志向・実力主義型】
・第二新卒〜20代後半がメイン層
・未経験・異業種歓迎
・「成長したい・稼ぎたい」動機が強い人材が向く
・平均年齢29歳と若手が多い職場</t>
  </si>
  <si>
    <t>月給：255,000円〜300,000円（固定残業35時間/54,570円含む）
想定年収：300万円〜360万円（入社時）
歩合：上限なし
【モデル年収】
・20代前半 課長代理職：年収780万円（年俸420万＋歩合360万）
・20代前半 課長職：年収1,200万円（年俸540万＋歩合660万）
・20代後半 部長職：年収1,300万円（年俸600万＋歩合700万）</t>
  </si>
  <si>
    <t>【公式NG記載なし。以下は実務上の懸念点】
・安定志向・指示待ちタイプは文化的に合わない可能性
・完全実力主義のため、歩合依存の収入構造に不安を感じる候補者には注意
・電話アポイント主体のため、テレアポに拒否感がある候補者は要確認
・勤務地：名古屋本社（愛知県）が主軸。東京・大阪・福岡等の支店あり</t>
  </si>
  <si>
    <t>・東証プライム上場（2024年9月）の医療×IT企業。成長ストーリーを語りやすい
・平均年齢29歳、入社2年でマネージャー事例あり。昇格スピードの速さは訴求ポイント
・「経営者（院長）と話せる」という訴求は成長意欲の高い候補者に刺さる
・AIチャットボット（NOMOCA AI）はChatGPT活用の最新商材。IT・DX関心層へのフックになる
・歩合上限なしは「稼ぎたい」候補者への強い訴求材料
・NG評価ポイントとして「安定志向・ルーティン好き・変化を嫌う」タイプは合わない</t>
  </si>
  <si>
    <t>掲載開始日</t>
  </si>
  <si>
    <t>ステータス</t>
  </si>
  <si>
    <t>内定実績</t>
  </si>
  <si>
    <t>なし</t>
  </si>
  <si>
    <t>出典：求人票（株式会社GENOVA）　※エージェントメモは求人票記載外の情報を含む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</si>
</sst>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numFmts>
  <fonts count="19" x14ac:knownFonts="1">
    <font>
      <sz val="11"/>
      <color theme="1"/>
      <name val="ＭＳ Ｐゴシック"/>
      <family val="2"/>
      <scheme val="minor"/>
    </font>
    <font>
      <b/>
      <sz val="10"/>
      <color rgb="FFFFFFFF"/>
      <name val="Arial"/>
      <family val="2"/>
    </font>
    <font>
      <sz val="9"/>
      <name val="Arial"/>
      <family val="2"/>
    </font>
    <font>
      <sz val="6"/>
      <name val="ＭＳ Ｐゴシック"/>
      <family val="3"/>
      <charset val="128"/>
      <scheme val="minor"/>
    </font>
    <font>
      <b/>
      <sz val="14"/>
      <color rgb="FFFFFFFF"/>
      <name val="Arial"/>
      <family val="2"/>
    </font>
    <font>
      <i/>
      <sz val="10"/>
      <color rgb="FF1F4E79"/>
      <name val="Arial"/>
      <family val="2"/>
    </font>
    <font>
      <b/>
      <sz val="10"/>
      <color rgb="FF1F4E79"/>
      <name val="Arial"/>
      <family val="2"/>
    </font>
    <font>
      <sz val="10"/>
      <name val="Arial"/>
      <family val="2"/>
    </font>
    <font>
      <i/>
      <sz val="8"/>
      <color rgb="FF888888"/>
      <name val="Arial"/>
      <family val="2"/>
    </font>
    <font>
      <sz val="9"/>
      <name val="ＭＳ ゴシック"/>
      <family val="3"/>
      <charset val="128"/>
    </font>
    <font>
      <sz val="9"/>
      <name val="Arial"/>
      <family val="3"/>
      <charset val="128"/>
    </font>
    <font>
      <sz val="10"/>
      <name val="ＭＳ ゴシック"/>
      <family val="3"/>
      <charset val="128"/>
    </font>
    <font>
      <b/>
      <sz val="14"/>
      <color rgb="FFFFFFFF"/>
      <name val="Arial"/>
    </font>
    <font>
      <sz val="10"/>
      <color rgb="FF000000"/>
      <name val="Arial"/>
    </font>
    <font>
      <b/>
      <sz val="10"/>
      <color rgb="FF000000"/>
      <name val="Arial"/>
    </font>
    <font>
      <b/>
      <sz val="11"/>
      <name val="Arial"/>
    </font>
    <font>
      <sz val="11"/>
      <name val="Arial"/>
    </font>
    <font>
      <b/>
      <sz val="11"/>
      <color rgb="FF00B050"/>
      <name val="Arial"/>
    </font>
    <font>
      <b/>
      <sz val="12"/>
      <color rgb="FFFFFFFF"/>
      <name val="Arial"/>
    </font>
  </fonts>
  <fills count="13">
    <fill>
      <patternFill patternType="none"/>
    </fill>
    <fill>
      <patternFill patternType="gray125"/>
    </fill>
    <fill>
      <patternFill patternType="solid">
        <fgColor rgb="FF1F4E79"/>
        <bgColor rgb="FF1F4E79"/>
      </patternFill>
    </fill>
    <fill>
      <patternFill patternType="solid">
        <fgColor rgb="FFEBF3FB"/>
        <bgColor rgb="FFEBF3FB"/>
      </patternFill>
    </fill>
    <fill>
      <patternFill patternType="solid">
        <fgColor rgb="FFFFFFFF"/>
        <bgColor rgb="FFFFFFFF"/>
      </patternFill>
    </fill>
    <fill>
      <patternFill patternType="solid">
        <fgColor rgb="FF1F4E79"/>
      </patternFill>
    </fill>
    <fill>
      <patternFill patternType="solid">
        <fgColor rgb="FFD6E4F0"/>
      </patternFill>
    </fill>
    <fill>
      <patternFill patternType="solid">
        <fgColor rgb="FFFFFFFF"/>
      </patternFill>
    </fill>
    <fill>
      <patternFill patternType="solid">
        <fgColor rgb="FFFFF2CC"/>
      </patternFill>
    </fill>
    <fill>
      <patternFill patternType="solid">
        <fgColor rgb="FFEAF4E8"/>
      </patternFill>
    </fill>
    <fill>
      <patternFill patternType="solid">
        <fgColor rgb="FFEEEEEE"/>
      </patternFill>
    </fill>
    <fill>
      <patternFill patternType="solid">
        <fgColor rgb="FFFFFF00"/>
        <bgColor rgb="FFFFFF00"/>
      </patternFill>
    </fill>
    <fill>
      <patternFill patternType="solid">
        <fgColor rgb="FF2E4057"/>
        <bgColor rgb="FF2E4057"/>
      </patternFill>
    </fill>
  </fills>
  <borders count="4">
    <border>
      <left/>
      <right/>
      <top/>
      <bottom/>
      <diagonal/>
    </border>
    <border>
      <left style="thin">
        <color auto="1"/>
      </left>
      <right style="thin">
        <color auto="1"/>
      </right>
      <top style="thin">
        <color auto="1"/>
      </top>
      <bottom style="thin">
        <color auto="1"/>
      </bottom>
      <diagonal/>
    </border>
    <border>
      <left style="thin">
        <color rgb="FFB0C4DE"/>
      </left>
      <right style="thin">
        <color rgb="FFB0C4DE"/>
      </right>
      <top style="thin">
        <color rgb="FFB0C4DE"/>
      </top>
      <bottom style="thin">
        <color rgb="FFB0C4DE"/>
      </bottom>
      <diagonal/>
    </border>
    <border>
      <left/>
      <right style="thin">
        <color rgb="FFB0C4DE"/>
      </right>
      <top style="thin">
        <color rgb="FFB0C4DE"/>
      </top>
      <bottom style="thin">
        <color rgb="FFB0C4DE"/>
      </bottom>
      <diagonal/>
    </border>
  </borders>
  <cellStyleXfs count="1">
    <xf numFmtId="0" fontId="0" fillId="0" borderId="0"/>
  </cellStyleXfs>
  <cellXfs count="3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xf>
    <xf numFmtId="0" fontId="2" fillId="3" borderId="1" xfId="0" applyFont="1" applyFill="1" applyBorder="1" applyAlignment="1">
      <alignment vertical="top" wrapText="1"/>
    </xf>
    <xf numFmtId="0" fontId="2" fillId="4" borderId="1" xfId="0" applyFont="1" applyFill="1" applyBorder="1" applyAlignment="1">
      <alignment horizontal="center" vertical="top"/>
    </xf>
    <xf numFmtId="0" fontId="2" fillId="4" borderId="1" xfId="0" applyFont="1" applyFill="1" applyBorder="1" applyAlignment="1">
      <alignment vertical="top" wrapText="1"/>
    </xf>
    <xf numFmtId="0" fontId="2" fillId="3" borderId="1" xfId="0" applyFont="1" applyFill="1" applyBorder="1" applyAlignment="1">
      <alignment vertical="top"/>
    </xf>
    <xf numFmtId="0" fontId="0" fillId="0" borderId="1" xfId="0" applyBorder="1" applyAlignment="1">
      <alignment vertical="top" wrapText="1"/>
    </xf>
    <xf numFmtId="0" fontId="4" fillId="5" borderId="2" xfId="0" applyFont="1" applyFill="1" applyBorder="1" applyAlignment="1">
      <alignment horizontal="center" vertical="center" wrapText="1"/>
    </xf>
    <xf numFmtId="0" fontId="5" fillId="6" borderId="2" xfId="0" applyFont="1" applyFill="1" applyBorder="1" applyAlignment="1">
      <alignment horizontal="center" vertical="center"/>
    </xf>
    <xf numFmtId="0" fontId="6" fillId="6" borderId="2" xfId="0" applyFont="1" applyFill="1" applyBorder="1" applyAlignment="1">
      <alignment horizontal="left" vertical="top" wrapText="1"/>
    </xf>
    <xf numFmtId="0" fontId="7" fillId="7" borderId="2" xfId="0" applyFont="1" applyFill="1" applyBorder="1" applyAlignment="1">
      <alignment horizontal="left" vertical="top" wrapText="1"/>
    </xf>
    <xf numFmtId="0" fontId="7" fillId="8" borderId="2" xfId="0" applyFont="1" applyFill="1" applyBorder="1" applyAlignment="1">
      <alignment horizontal="left" vertical="top" wrapText="1"/>
    </xf>
    <xf numFmtId="0" fontId="7" fillId="9" borderId="2" xfId="0" applyFont="1" applyFill="1" applyBorder="1" applyAlignment="1">
      <alignment horizontal="left" vertical="top" wrapText="1"/>
    </xf>
    <xf numFmtId="0" fontId="8" fillId="0" borderId="0" xfId="0" applyFont="1" applyAlignment="1">
      <alignment horizontal="right"/>
    </xf>
    <xf numFmtId="0" fontId="0" fillId="0" borderId="3" xfId="0" applyBorder="1"/>
    <xf numFmtId="0" fontId="9" fillId="3" borderId="1" xfId="0" applyFont="1" applyFill="1" applyBorder="1" applyAlignment="1">
      <alignment vertical="top"/>
    </xf>
    <xf numFmtId="0" fontId="10" fillId="3" borderId="1" xfId="0" applyFont="1" applyFill="1" applyBorder="1" applyAlignment="1">
      <alignment vertical="top" wrapText="1"/>
    </xf>
    <xf numFmtId="0" fontId="11" fillId="7" borderId="2" xfId="0" applyFont="1" applyFill="1" applyBorder="1" applyAlignment="1">
      <alignment horizontal="left" vertical="top" wrapText="1"/>
    </xf>
    <xf numFmtId="0" fontId="12" fillId="5" borderId="0" xfId="0" applyFont="1" applyFill="1" applyAlignment="1">
      <alignment vertical="center" wrapText="1"/>
    </xf>
    <xf numFmtId="0" fontId="13" fillId="0" borderId="0" xfId="0" applyFont="1" applyAlignment="1">
      <alignment vertical="top" wrapText="1"/>
    </xf>
    <xf numFmtId="0" fontId="13" fillId="6" borderId="0" xfId="0" applyFont="1" applyFill="1" applyAlignment="1">
      <alignment vertical="top" wrapText="1"/>
    </xf>
    <xf numFmtId="0" fontId="14" fillId="6" borderId="0" xfId="0" applyFont="1" applyFill="1" applyAlignment="1">
      <alignment vertical="top" wrapText="1"/>
    </xf>
    <xf numFmtId="0" fontId="13" fillId="7" borderId="0" xfId="0" applyFont="1" applyFill="1" applyAlignment="1">
      <alignment vertical="top" wrapText="1"/>
    </xf>
    <xf numFmtId="0" fontId="13" fillId="10" borderId="0" xfId="0" applyFont="1" applyFill="1" applyAlignment="1">
      <alignment vertical="top" wrapText="1"/>
    </xf>
    <xf numFmtId="0" fontId="18" fillId="12" borderId="0" xfId="0" applyFont="1" applyFill="1" applyAlignment="1">
      <alignment vertical="top" wrapText="1"/>
    </xf>
    <xf numFmtId="0" fontId="15" fillId="0" borderId="0" xfId="0" applyFont="1" applyAlignment="1">
      <alignment vertical="top" wrapText="1"/>
    </xf>
    <xf numFmtId="0" fontId="16" fillId="0" borderId="0" xfId="0" applyFont="1" applyAlignment="1">
      <alignment vertical="top" wrapText="1"/>
    </xf>
    <xf numFmtId="0" fontId="15" fillId="11" borderId="0" xfId="0" applyFont="1" applyFill="1" applyAlignment="1">
      <alignment vertical="top" wrapText="1"/>
    </xf>
    <xf numFmtId="0" fontId="16" fillId="11" borderId="0" xfId="0" applyFont="1" applyFill="1" applyAlignment="1">
      <alignment vertical="top" wrapText="1"/>
    </xf>
    <xf numFmtId="0" fontId="17" fillId="11" borderId="0" xfId="0" applyFont="1" applyFill="1" applyAlignment="1">
      <alignment vertical="top" wrapText="1"/>
    </xf>
    <xf numFmtId="177" fontId="16" fillId="11" borderId="0" xfId="0" applyNumberFormat="1" applyFont="1" applyFill="1" applyAlignment="1">
      <alignment vertical="top" wrapText="1"/>
    </xf>
    <xf numFmtId="0" fontId="8" fillId="0" borderId="0" xfId="0" applyFont="1" applyAlignment="1">
      <alignment horizontal="right"/>
    </xf>
    <xf numFmtId="0" fontId="0" fillId="0" borderId="0" xfId="0"/>
    <xf numFmtId="0" fontId="5" fillId="6" borderId="2" xfId="0" applyFont="1" applyFill="1" applyBorder="1" applyAlignment="1">
      <alignment horizontal="center" vertical="center"/>
    </xf>
    <xf numFmtId="0" fontId="0" fillId="0" borderId="3" xfId="0" applyBorder="1"/>
    <xf numFmtId="0" fontId="4" fillId="5" borderId="2" xfId="0" applyFont="1" applyFill="1" applyBorder="1" applyAlignment="1">
      <alignment horizontal="center"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topLeftCell="G1" workbookViewId="0">
      <pane ySplit="1" topLeftCell="A2" activePane="bottomLeft" state="frozen"/>
      <selection pane="bottomLeft" activeCell="X23" sqref="X23"/>
    </sheetView>
  </sheetViews>
  <sheetFormatPr defaultRowHeight="13" x14ac:dyDescent="0.2"/>
  <cols>
    <col min="1" max="9" width="20" customWidth="1"/>
    <col min="10" max="10" width="60" customWidth="1"/>
  </cols>
  <sheetData>
    <row r="1" spans="1:10" ht="30" customHeight="1" x14ac:dyDescent="0.2">
      <c r="A1" s="1" t="s">
        <v>19</v>
      </c>
      <c r="B1" s="1" t="s">
        <v>20</v>
      </c>
      <c r="C1" s="1" t="s">
        <v>21</v>
      </c>
      <c r="D1" s="1" t="s">
        <v>22</v>
      </c>
      <c r="E1" s="1" t="s">
        <v>23</v>
      </c>
      <c r="F1" s="1" t="s">
        <v>24</v>
      </c>
      <c r="G1" s="1" t="s">
        <v>25</v>
      </c>
      <c r="H1" s="1" t="s">
        <v>26</v>
      </c>
      <c r="I1" s="1" t="s">
        <v>27</v>
      </c>
      <c r="J1" s="1" t="s">
        <v>28</v>
      </c>
    </row>
    <row r="2" spans="1:10" ht="70" customHeight="1" x14ac:dyDescent="0.2">
      <c r="A2" s="6" t="s">
        <v>29</v>
      </c>
      <c r="B2" s="6" t="s">
        <v>30</v>
      </c>
      <c r="C2" s="6" t="s">
        <v>31</v>
      </c>
      <c r="D2" s="6" t="s">
        <v>32</v>
      </c>
      <c r="E2" s="6">
        <v>28</v>
      </c>
      <c r="F2" s="6">
        <v>0</v>
      </c>
      <c r="G2" s="6" t="s">
        <v>33</v>
      </c>
      <c r="H2" s="6" t="s">
        <v>34</v>
      </c>
      <c r="I2" s="6" t="s">
        <v>35</v>
      </c>
    </row>
    <row r="3" spans="1:10" ht="70" customHeight="1" x14ac:dyDescent="0.2">
      <c r="A3" s="6" t="s">
        <v>36</v>
      </c>
      <c r="B3" s="6" t="s">
        <v>37</v>
      </c>
      <c r="C3" s="6" t="s">
        <v>38</v>
      </c>
      <c r="D3" s="6" t="s">
        <v>39</v>
      </c>
      <c r="E3" s="6">
        <v>24</v>
      </c>
      <c r="F3" s="6">
        <v>0</v>
      </c>
      <c r="G3" s="6" t="s">
        <v>40</v>
      </c>
      <c r="H3" s="6" t="s">
        <v>41</v>
      </c>
      <c r="I3" s="6" t="s">
        <v>42</v>
      </c>
    </row>
    <row r="4" spans="1:10" ht="70" customHeight="1" x14ac:dyDescent="0.2">
      <c r="A4" s="6" t="s">
        <v>43</v>
      </c>
      <c r="B4" s="6" t="s">
        <v>44</v>
      </c>
      <c r="C4" s="6" t="s">
        <v>45</v>
      </c>
      <c r="D4" s="6" t="s">
        <v>46</v>
      </c>
      <c r="E4" s="6">
        <v>25</v>
      </c>
      <c r="F4" s="6">
        <v>0</v>
      </c>
      <c r="G4" s="6" t="s">
        <v>47</v>
      </c>
      <c r="H4" s="6" t="s">
        <v>48</v>
      </c>
      <c r="I4" s="6" t="s">
        <v>49</v>
      </c>
    </row>
    <row r="5" spans="1:10" ht="70" customHeight="1" x14ac:dyDescent="0.2">
      <c r="A5" s="6" t="s">
        <v>50</v>
      </c>
      <c r="B5" s="6" t="s">
        <v>51</v>
      </c>
      <c r="C5" s="6" t="s">
        <v>52</v>
      </c>
      <c r="D5" s="6" t="s">
        <v>53</v>
      </c>
      <c r="E5" s="6">
        <v>25</v>
      </c>
      <c r="F5" s="6">
        <v>1</v>
      </c>
      <c r="G5" s="6" t="s">
        <v>54</v>
      </c>
      <c r="H5" s="6" t="s">
        <v>48</v>
      </c>
      <c r="I5" s="6" t="s">
        <v>55</v>
      </c>
      <c r="J5" s="7" t="s">
        <v>56</v>
      </c>
    </row>
    <row r="6" spans="1:10" ht="70" customHeight="1" x14ac:dyDescent="0.2">
      <c r="A6" s="6" t="s">
        <v>57</v>
      </c>
      <c r="B6" s="16" t="s">
        <v>58</v>
      </c>
      <c r="C6" s="6" t="s">
        <v>59</v>
      </c>
      <c r="D6" s="6" t="s">
        <v>60</v>
      </c>
      <c r="E6" s="6">
        <v>24</v>
      </c>
      <c r="F6" s="6">
        <v>0</v>
      </c>
      <c r="G6" s="6" t="s">
        <v>61</v>
      </c>
      <c r="H6" s="6" t="s">
        <v>41</v>
      </c>
      <c r="I6" s="6" t="s">
        <v>62</v>
      </c>
    </row>
    <row r="7" spans="1:10" ht="70" customHeight="1" x14ac:dyDescent="0.2">
      <c r="A7" s="2" t="s">
        <v>63</v>
      </c>
      <c r="B7" s="3" t="s">
        <v>64</v>
      </c>
      <c r="C7" s="3" t="s">
        <v>65</v>
      </c>
      <c r="D7" s="3" t="s">
        <v>66</v>
      </c>
      <c r="E7" s="2">
        <v>36</v>
      </c>
      <c r="F7" s="2">
        <v>0</v>
      </c>
      <c r="G7" s="3" t="s">
        <v>67</v>
      </c>
      <c r="H7" s="3" t="s">
        <v>68</v>
      </c>
      <c r="I7" s="3" t="s">
        <v>69</v>
      </c>
    </row>
    <row r="8" spans="1:10" ht="70" customHeight="1" x14ac:dyDescent="0.2">
      <c r="A8" s="4" t="s">
        <v>70</v>
      </c>
      <c r="B8" s="5" t="s">
        <v>71</v>
      </c>
      <c r="C8" s="5" t="s">
        <v>72</v>
      </c>
      <c r="D8" s="5" t="s">
        <v>73</v>
      </c>
      <c r="E8" s="4">
        <v>30</v>
      </c>
      <c r="F8" s="4">
        <v>3</v>
      </c>
      <c r="G8" s="5" t="s">
        <v>74</v>
      </c>
      <c r="H8" s="5" t="s">
        <v>75</v>
      </c>
      <c r="I8" s="5" t="s">
        <v>76</v>
      </c>
    </row>
    <row r="9" spans="1:10" ht="70" customHeight="1" x14ac:dyDescent="0.2">
      <c r="A9" s="2" t="s">
        <v>77</v>
      </c>
      <c r="B9" s="3" t="s">
        <v>78</v>
      </c>
      <c r="C9" s="3" t="s">
        <v>79</v>
      </c>
      <c r="D9" s="3" t="s">
        <v>80</v>
      </c>
      <c r="E9" s="2">
        <v>24</v>
      </c>
      <c r="F9" s="2">
        <v>0</v>
      </c>
      <c r="G9" s="3" t="s">
        <v>81</v>
      </c>
      <c r="H9" s="3" t="s">
        <v>41</v>
      </c>
      <c r="I9" s="3" t="s">
        <v>82</v>
      </c>
    </row>
    <row r="10" spans="1:10" ht="70" customHeight="1" x14ac:dyDescent="0.2">
      <c r="A10" s="4" t="s">
        <v>83</v>
      </c>
      <c r="B10" s="5" t="s">
        <v>84</v>
      </c>
      <c r="C10" s="5" t="s">
        <v>85</v>
      </c>
      <c r="D10" s="5" t="s">
        <v>86</v>
      </c>
      <c r="E10" s="4">
        <v>22</v>
      </c>
      <c r="F10" s="4">
        <v>1</v>
      </c>
      <c r="G10" s="5" t="s">
        <v>87</v>
      </c>
      <c r="H10" s="5" t="s">
        <v>88</v>
      </c>
      <c r="I10" s="5" t="s">
        <v>89</v>
      </c>
    </row>
    <row r="11" spans="1:10" ht="70" customHeight="1" x14ac:dyDescent="0.2">
      <c r="A11" s="2" t="s">
        <v>90</v>
      </c>
      <c r="B11" s="3" t="s">
        <v>91</v>
      </c>
      <c r="C11" s="3" t="s">
        <v>92</v>
      </c>
      <c r="D11" s="3" t="s">
        <v>93</v>
      </c>
      <c r="E11" s="2">
        <v>25</v>
      </c>
      <c r="F11" s="2">
        <v>2</v>
      </c>
      <c r="G11" s="3" t="s">
        <v>94</v>
      </c>
      <c r="H11" s="3" t="s">
        <v>95</v>
      </c>
      <c r="I11" s="3" t="s">
        <v>96</v>
      </c>
    </row>
    <row r="12" spans="1:10" ht="70" customHeight="1" x14ac:dyDescent="0.2">
      <c r="A12" s="4" t="s">
        <v>97</v>
      </c>
      <c r="B12" s="5" t="s">
        <v>98</v>
      </c>
      <c r="C12" s="5" t="s">
        <v>99</v>
      </c>
      <c r="D12" s="5" t="s">
        <v>100</v>
      </c>
      <c r="E12" s="4">
        <v>27</v>
      </c>
      <c r="F12" s="4">
        <v>0</v>
      </c>
      <c r="G12" s="5" t="s">
        <v>101</v>
      </c>
      <c r="H12" s="5" t="s">
        <v>102</v>
      </c>
      <c r="I12" s="5" t="s">
        <v>103</v>
      </c>
    </row>
    <row r="13" spans="1:10" ht="70" customHeight="1" x14ac:dyDescent="0.2">
      <c r="A13" s="2" t="s">
        <v>104</v>
      </c>
      <c r="B13" s="3" t="s">
        <v>105</v>
      </c>
      <c r="C13" s="3" t="s">
        <v>106</v>
      </c>
      <c r="D13" s="3" t="s">
        <v>107</v>
      </c>
      <c r="E13" s="2">
        <v>23</v>
      </c>
      <c r="F13" s="2">
        <v>2</v>
      </c>
      <c r="G13" s="3" t="s">
        <v>108</v>
      </c>
      <c r="H13" s="3" t="s">
        <v>109</v>
      </c>
      <c r="I13" s="3" t="s">
        <v>110</v>
      </c>
    </row>
    <row r="14" spans="1:10" ht="70" customHeight="1" x14ac:dyDescent="0.2">
      <c r="A14" s="4" t="s">
        <v>111</v>
      </c>
      <c r="B14" s="5" t="s">
        <v>112</v>
      </c>
      <c r="C14" s="5" t="s">
        <v>113</v>
      </c>
      <c r="D14" s="5" t="s">
        <v>114</v>
      </c>
      <c r="E14" s="4">
        <v>26</v>
      </c>
      <c r="F14" s="4">
        <v>0</v>
      </c>
      <c r="G14" s="5" t="s">
        <v>115</v>
      </c>
      <c r="H14" s="5" t="s">
        <v>116</v>
      </c>
      <c r="I14" s="5" t="s">
        <v>117</v>
      </c>
    </row>
    <row r="15" spans="1:10" ht="70" customHeight="1" x14ac:dyDescent="0.2">
      <c r="A15" s="2" t="s">
        <v>118</v>
      </c>
      <c r="B15" s="3" t="s">
        <v>119</v>
      </c>
      <c r="C15" s="3" t="s">
        <v>120</v>
      </c>
      <c r="D15" s="3" t="s">
        <v>121</v>
      </c>
      <c r="E15" s="2">
        <v>30</v>
      </c>
      <c r="F15" s="2">
        <v>0</v>
      </c>
      <c r="G15" s="3" t="s">
        <v>122</v>
      </c>
      <c r="H15" s="3" t="s">
        <v>123</v>
      </c>
      <c r="I15" s="3" t="s">
        <v>124</v>
      </c>
    </row>
    <row r="16" spans="1:10" ht="70" customHeight="1" x14ac:dyDescent="0.2">
      <c r="A16" s="4" t="s">
        <v>125</v>
      </c>
      <c r="B16" s="5" t="s">
        <v>30</v>
      </c>
      <c r="C16" s="5" t="s">
        <v>126</v>
      </c>
      <c r="D16" s="5" t="s">
        <v>127</v>
      </c>
      <c r="E16" s="4">
        <v>26</v>
      </c>
      <c r="F16" s="4">
        <v>1</v>
      </c>
      <c r="G16" s="5" t="s">
        <v>128</v>
      </c>
      <c r="H16" s="5" t="s">
        <v>88</v>
      </c>
      <c r="I16" s="5" t="s">
        <v>129</v>
      </c>
    </row>
    <row r="17" spans="1:10" ht="70" customHeight="1" x14ac:dyDescent="0.2">
      <c r="A17" s="2" t="s">
        <v>130</v>
      </c>
      <c r="B17" s="3" t="s">
        <v>131</v>
      </c>
      <c r="C17" s="3" t="s">
        <v>132</v>
      </c>
      <c r="D17" s="3" t="s">
        <v>133</v>
      </c>
      <c r="E17" s="2">
        <v>31</v>
      </c>
      <c r="F17" s="2">
        <v>0</v>
      </c>
      <c r="G17" s="3" t="s">
        <v>134</v>
      </c>
      <c r="H17" s="3" t="s">
        <v>135</v>
      </c>
      <c r="I17" s="3" t="s">
        <v>136</v>
      </c>
    </row>
    <row r="18" spans="1:10" ht="70" customHeight="1" x14ac:dyDescent="0.2">
      <c r="A18" s="4" t="s">
        <v>137</v>
      </c>
      <c r="B18" s="5" t="s">
        <v>138</v>
      </c>
      <c r="C18" s="5" t="s">
        <v>139</v>
      </c>
      <c r="D18" s="5" t="s">
        <v>140</v>
      </c>
      <c r="E18" s="4">
        <v>26</v>
      </c>
      <c r="F18" s="4">
        <v>0</v>
      </c>
      <c r="G18" s="5" t="s">
        <v>141</v>
      </c>
      <c r="H18" s="5" t="s">
        <v>34</v>
      </c>
      <c r="I18" s="5" t="s">
        <v>142</v>
      </c>
    </row>
    <row r="19" spans="1:10" ht="70" customHeight="1" x14ac:dyDescent="0.2">
      <c r="A19" s="2" t="s">
        <v>143</v>
      </c>
      <c r="B19" s="3" t="s">
        <v>144</v>
      </c>
      <c r="C19" s="3" t="s">
        <v>145</v>
      </c>
      <c r="D19" s="3" t="s">
        <v>146</v>
      </c>
      <c r="E19" s="2">
        <v>31</v>
      </c>
      <c r="F19" s="2">
        <v>2</v>
      </c>
      <c r="G19" s="3" t="s">
        <v>147</v>
      </c>
      <c r="H19" s="3" t="s">
        <v>123</v>
      </c>
      <c r="I19" s="3" t="s">
        <v>148</v>
      </c>
    </row>
    <row r="20" spans="1:10" ht="70" customHeight="1" x14ac:dyDescent="0.2">
      <c r="A20" s="4" t="s">
        <v>149</v>
      </c>
      <c r="B20" s="5" t="s">
        <v>150</v>
      </c>
      <c r="C20" s="5" t="s">
        <v>151</v>
      </c>
      <c r="D20" s="5" t="s">
        <v>152</v>
      </c>
      <c r="E20" s="4">
        <v>25</v>
      </c>
      <c r="F20" s="4">
        <v>1</v>
      </c>
      <c r="G20" s="5" t="s">
        <v>153</v>
      </c>
      <c r="H20" s="5" t="s">
        <v>154</v>
      </c>
      <c r="I20" s="5" t="s">
        <v>155</v>
      </c>
      <c r="J20" s="7" t="s">
        <v>156</v>
      </c>
    </row>
    <row r="21" spans="1:10" ht="70" customHeight="1" x14ac:dyDescent="0.2">
      <c r="A21" s="2" t="s">
        <v>157</v>
      </c>
      <c r="B21" s="3" t="s">
        <v>119</v>
      </c>
      <c r="C21" s="3" t="s">
        <v>158</v>
      </c>
      <c r="D21" s="3" t="s">
        <v>159</v>
      </c>
      <c r="E21" s="2">
        <v>27</v>
      </c>
      <c r="F21" s="2">
        <v>0</v>
      </c>
      <c r="G21" s="3" t="s">
        <v>160</v>
      </c>
      <c r="H21" s="3" t="s">
        <v>161</v>
      </c>
      <c r="I21" s="3" t="s">
        <v>162</v>
      </c>
    </row>
    <row r="22" spans="1:10" ht="70" customHeight="1" x14ac:dyDescent="0.2">
      <c r="A22" s="4" t="s">
        <v>163</v>
      </c>
      <c r="B22" s="5" t="s">
        <v>164</v>
      </c>
      <c r="C22" s="5" t="s">
        <v>165</v>
      </c>
      <c r="D22" s="5" t="s">
        <v>166</v>
      </c>
      <c r="E22" s="4">
        <v>25</v>
      </c>
      <c r="F22" s="4">
        <v>2</v>
      </c>
      <c r="G22" s="5" t="s">
        <v>167</v>
      </c>
      <c r="H22" s="5" t="s">
        <v>168</v>
      </c>
      <c r="I22" s="5" t="s">
        <v>169</v>
      </c>
    </row>
    <row r="23" spans="1:10" ht="70" customHeight="1" x14ac:dyDescent="0.2">
      <c r="A23" s="2" t="s">
        <v>170</v>
      </c>
      <c r="B23" s="3" t="s">
        <v>98</v>
      </c>
      <c r="C23" s="3" t="s">
        <v>171</v>
      </c>
      <c r="D23" s="3" t="s">
        <v>172</v>
      </c>
      <c r="E23" s="2">
        <v>23</v>
      </c>
      <c r="F23" s="2">
        <v>0</v>
      </c>
      <c r="G23" s="3" t="s">
        <v>173</v>
      </c>
      <c r="H23" s="3" t="s">
        <v>41</v>
      </c>
      <c r="I23" s="3" t="s">
        <v>174</v>
      </c>
    </row>
    <row r="24" spans="1:10" ht="70" customHeight="1" x14ac:dyDescent="0.2">
      <c r="A24" s="4" t="s">
        <v>175</v>
      </c>
      <c r="B24" s="5" t="s">
        <v>98</v>
      </c>
      <c r="C24" s="5" t="s">
        <v>176</v>
      </c>
      <c r="D24" s="5" t="s">
        <v>177</v>
      </c>
      <c r="E24" s="4">
        <v>27</v>
      </c>
      <c r="F24" s="4">
        <v>0</v>
      </c>
      <c r="G24" s="5" t="s">
        <v>134</v>
      </c>
      <c r="H24" s="5" t="s">
        <v>178</v>
      </c>
      <c r="I24" s="5" t="s">
        <v>179</v>
      </c>
    </row>
    <row r="25" spans="1:10" ht="70" customHeight="1" x14ac:dyDescent="0.2">
      <c r="A25" s="2" t="s">
        <v>180</v>
      </c>
      <c r="B25" s="3" t="s">
        <v>181</v>
      </c>
      <c r="C25" s="3" t="s">
        <v>182</v>
      </c>
      <c r="D25" s="3" t="s">
        <v>183</v>
      </c>
      <c r="E25" s="2">
        <v>28</v>
      </c>
      <c r="F25" s="2">
        <v>0</v>
      </c>
      <c r="G25" s="3" t="s">
        <v>184</v>
      </c>
      <c r="H25" s="3" t="s">
        <v>135</v>
      </c>
      <c r="I25" s="3" t="s">
        <v>185</v>
      </c>
    </row>
    <row r="26" spans="1:10" ht="70" customHeight="1" x14ac:dyDescent="0.2">
      <c r="A26" s="4" t="s">
        <v>186</v>
      </c>
      <c r="B26" s="5" t="s">
        <v>30</v>
      </c>
      <c r="C26" s="5" t="s">
        <v>187</v>
      </c>
      <c r="D26" s="5" t="s">
        <v>188</v>
      </c>
      <c r="E26" s="4">
        <v>32</v>
      </c>
      <c r="F26" s="4">
        <v>1</v>
      </c>
      <c r="G26" s="5" t="s">
        <v>189</v>
      </c>
      <c r="H26" s="5" t="s">
        <v>190</v>
      </c>
      <c r="I26" s="5" t="s">
        <v>191</v>
      </c>
    </row>
    <row r="27" spans="1:10" ht="70" customHeight="1" x14ac:dyDescent="0.2">
      <c r="A27" s="2" t="s">
        <v>192</v>
      </c>
      <c r="B27" s="3" t="s">
        <v>150</v>
      </c>
      <c r="C27" s="3" t="s">
        <v>193</v>
      </c>
      <c r="D27" s="3" t="s">
        <v>194</v>
      </c>
      <c r="E27" s="2">
        <v>26</v>
      </c>
      <c r="F27" s="2">
        <v>0</v>
      </c>
      <c r="G27" s="3" t="s">
        <v>134</v>
      </c>
      <c r="H27" s="3" t="s">
        <v>161</v>
      </c>
      <c r="I27" s="3" t="s">
        <v>195</v>
      </c>
      <c r="J27" s="7" t="s">
        <v>196</v>
      </c>
    </row>
    <row r="28" spans="1:10" ht="70" customHeight="1" x14ac:dyDescent="0.2">
      <c r="A28" s="4" t="s">
        <v>197</v>
      </c>
      <c r="B28" s="5" t="s">
        <v>71</v>
      </c>
      <c r="C28" s="5" t="s">
        <v>198</v>
      </c>
      <c r="D28" s="5" t="s">
        <v>199</v>
      </c>
      <c r="E28" s="4">
        <v>26</v>
      </c>
      <c r="F28" s="4">
        <v>1</v>
      </c>
      <c r="G28" s="5" t="s">
        <v>200</v>
      </c>
      <c r="H28" s="5" t="s">
        <v>48</v>
      </c>
      <c r="I28" s="5" t="s">
        <v>201</v>
      </c>
    </row>
    <row r="29" spans="1:10" ht="70" customHeight="1" x14ac:dyDescent="0.2">
      <c r="A29" s="2" t="s">
        <v>202</v>
      </c>
      <c r="B29" s="3" t="s">
        <v>30</v>
      </c>
      <c r="C29" s="3" t="s">
        <v>203</v>
      </c>
      <c r="D29" s="3" t="s">
        <v>204</v>
      </c>
      <c r="E29" s="2">
        <v>26</v>
      </c>
      <c r="F29" s="2">
        <v>0</v>
      </c>
      <c r="G29" s="3" t="s">
        <v>173</v>
      </c>
      <c r="H29" s="3" t="s">
        <v>161</v>
      </c>
      <c r="I29" s="3" t="s">
        <v>205</v>
      </c>
    </row>
    <row r="30" spans="1:10" ht="70" customHeight="1" x14ac:dyDescent="0.2">
      <c r="A30" s="4" t="s">
        <v>206</v>
      </c>
      <c r="B30" s="5" t="s">
        <v>207</v>
      </c>
      <c r="C30" s="5" t="s">
        <v>208</v>
      </c>
      <c r="D30" s="5" t="s">
        <v>209</v>
      </c>
      <c r="E30" s="4">
        <v>23</v>
      </c>
      <c r="F30" s="4">
        <v>0</v>
      </c>
      <c r="G30" s="5" t="s">
        <v>210</v>
      </c>
      <c r="H30" s="5" t="s">
        <v>41</v>
      </c>
      <c r="I30" s="5" t="s">
        <v>211</v>
      </c>
    </row>
    <row r="31" spans="1:10" ht="126.5" customHeight="1" x14ac:dyDescent="0.2">
      <c r="A31" s="2" t="s">
        <v>212</v>
      </c>
      <c r="B31" s="3" t="s">
        <v>213</v>
      </c>
      <c r="C31" s="3" t="s">
        <v>214</v>
      </c>
      <c r="D31" s="3" t="s">
        <v>215</v>
      </c>
      <c r="E31" s="2">
        <v>31</v>
      </c>
      <c r="F31" s="2">
        <v>0</v>
      </c>
      <c r="G31" s="3" t="s">
        <v>216</v>
      </c>
      <c r="H31" s="3" t="s">
        <v>217</v>
      </c>
      <c r="I31" s="3" t="s">
        <v>218</v>
      </c>
    </row>
    <row r="32" spans="1:10" ht="126.5" customHeight="1" x14ac:dyDescent="0.2">
      <c r="A32" s="4" t="s">
        <v>219</v>
      </c>
      <c r="B32" s="5" t="s">
        <v>98</v>
      </c>
      <c r="C32" s="5" t="s">
        <v>220</v>
      </c>
      <c r="D32" s="5" t="s">
        <v>221</v>
      </c>
      <c r="E32" s="4">
        <v>31</v>
      </c>
      <c r="F32" s="4">
        <v>3</v>
      </c>
      <c r="G32" s="5" t="s">
        <v>222</v>
      </c>
      <c r="H32" s="5" t="s">
        <v>223</v>
      </c>
      <c r="I32" s="5" t="s">
        <v>224</v>
      </c>
    </row>
    <row r="33" spans="1:9" ht="126.5" customHeight="1" x14ac:dyDescent="0.2">
      <c r="A33" s="2" t="s">
        <v>225</v>
      </c>
      <c r="B33" s="17" t="s">
        <v>226</v>
      </c>
      <c r="C33" s="3" t="s">
        <v>227</v>
      </c>
      <c r="D33" s="3" t="s">
        <v>228</v>
      </c>
      <c r="E33" s="2">
        <v>28</v>
      </c>
      <c r="F33" s="2">
        <v>1</v>
      </c>
      <c r="G33" s="3" t="s">
        <v>229</v>
      </c>
      <c r="H33" s="3" t="s">
        <v>230</v>
      </c>
      <c r="I33" s="3" t="s">
        <v>231</v>
      </c>
    </row>
    <row r="34" spans="1:9" ht="126.5" customHeight="1" x14ac:dyDescent="0.2">
      <c r="A34" s="4" t="s">
        <v>232</v>
      </c>
      <c r="B34" s="5" t="s">
        <v>98</v>
      </c>
      <c r="C34" s="5" t="s">
        <v>233</v>
      </c>
      <c r="D34" s="5" t="s">
        <v>234</v>
      </c>
      <c r="E34" s="4">
        <v>27</v>
      </c>
      <c r="F34" s="4">
        <v>0</v>
      </c>
      <c r="G34" s="5" t="s">
        <v>235</v>
      </c>
      <c r="H34" s="5" t="s">
        <v>178</v>
      </c>
      <c r="I34" s="5" t="s">
        <v>236</v>
      </c>
    </row>
    <row r="35" spans="1:9" ht="126.5" customHeight="1" x14ac:dyDescent="0.2">
      <c r="A35" s="2" t="s">
        <v>237</v>
      </c>
      <c r="B35" s="3" t="s">
        <v>207</v>
      </c>
      <c r="C35" s="3" t="s">
        <v>238</v>
      </c>
      <c r="D35" s="3" t="s">
        <v>239</v>
      </c>
      <c r="E35" s="2">
        <v>26</v>
      </c>
      <c r="F35" s="2">
        <v>0</v>
      </c>
      <c r="G35" s="3" t="s">
        <v>240</v>
      </c>
      <c r="H35" s="3" t="s">
        <v>161</v>
      </c>
      <c r="I35" s="3" t="s">
        <v>241</v>
      </c>
    </row>
    <row r="36" spans="1:9" ht="70" customHeight="1" x14ac:dyDescent="0.2">
      <c r="A36" s="6" t="s">
        <v>242</v>
      </c>
      <c r="B36" s="6" t="s">
        <v>98</v>
      </c>
      <c r="C36" s="6" t="s">
        <v>243</v>
      </c>
      <c r="D36" s="6" t="s">
        <v>244</v>
      </c>
      <c r="E36" s="6">
        <v>30</v>
      </c>
      <c r="F36" s="6">
        <v>3</v>
      </c>
      <c r="G36" s="6" t="s">
        <v>33</v>
      </c>
      <c r="H36" s="6" t="s">
        <v>245</v>
      </c>
      <c r="I36" s="6" t="s">
        <v>246</v>
      </c>
    </row>
  </sheetData>
  <phoneticPr fontId="3"/>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topLeftCell="A11" workbookViewId="0">
      <selection activeCell="X23" sqref="X23"/>
    </sheetView>
  </sheetViews>
  <sheetFormatPr defaultRowHeight="13" x14ac:dyDescent="0.2"/>
  <cols>
    <col min="1" max="1" width="28" customWidth="1"/>
    <col min="2" max="2" width="70" customWidth="1"/>
  </cols>
  <sheetData>
    <row r="1" spans="1:2" ht="30" customHeight="1" x14ac:dyDescent="0.2">
      <c r="A1" s="36" t="s">
        <v>247</v>
      </c>
      <c r="B1" s="35"/>
    </row>
    <row r="2" spans="1:2" ht="20" customHeight="1" x14ac:dyDescent="0.2">
      <c r="A2" s="34" t="s">
        <v>248</v>
      </c>
      <c r="B2" s="35"/>
    </row>
    <row r="3" spans="1:2" ht="80" customHeight="1" x14ac:dyDescent="0.2">
      <c r="A3" s="10" t="s">
        <v>2</v>
      </c>
      <c r="B3" s="11" t="s">
        <v>249</v>
      </c>
    </row>
    <row r="4" spans="1:2" ht="80" customHeight="1" x14ac:dyDescent="0.2">
      <c r="A4" s="10" t="s">
        <v>4</v>
      </c>
      <c r="B4" s="11" t="s">
        <v>250</v>
      </c>
    </row>
    <row r="5" spans="1:2" ht="80" customHeight="1" x14ac:dyDescent="0.2">
      <c r="A5" s="10" t="s">
        <v>6</v>
      </c>
      <c r="B5" s="11" t="s">
        <v>251</v>
      </c>
    </row>
    <row r="6" spans="1:2" ht="80" customHeight="1" x14ac:dyDescent="0.2">
      <c r="A6" s="10" t="s">
        <v>8</v>
      </c>
      <c r="B6" s="11" t="s">
        <v>252</v>
      </c>
    </row>
    <row r="7" spans="1:2" ht="80" customHeight="1" x14ac:dyDescent="0.2">
      <c r="A7" s="10" t="s">
        <v>10</v>
      </c>
      <c r="B7" s="11" t="s">
        <v>253</v>
      </c>
    </row>
    <row r="8" spans="1:2" ht="80" customHeight="1" x14ac:dyDescent="0.2">
      <c r="A8" s="10" t="s">
        <v>12</v>
      </c>
      <c r="B8" s="12" t="s">
        <v>254</v>
      </c>
    </row>
    <row r="9" spans="1:2" ht="100" customHeight="1" x14ac:dyDescent="0.2">
      <c r="A9" s="10" t="s">
        <v>14</v>
      </c>
      <c r="B9" s="12" t="s">
        <v>255</v>
      </c>
    </row>
    <row r="10" spans="1:2" ht="120" customHeight="1" x14ac:dyDescent="0.2">
      <c r="A10" s="10" t="s">
        <v>16</v>
      </c>
      <c r="B10" s="13" t="s">
        <v>256</v>
      </c>
    </row>
    <row r="11" spans="1:2" ht="15" customHeight="1" x14ac:dyDescent="0.2">
      <c r="A11" s="32" t="s">
        <v>257</v>
      </c>
      <c r="B11" s="33"/>
    </row>
  </sheetData>
  <mergeCells count="3">
    <mergeCell ref="A11:B11"/>
    <mergeCell ref="A2:B2"/>
    <mergeCell ref="A1:B1"/>
  </mergeCells>
  <phoneticPr fontId="3"/>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topLeftCell="BL1" workbookViewId="0">
      <selection activeCell="X23" sqref="X23"/>
    </sheetView>
  </sheetViews>
  <sheetFormatPr defaultRowHeight="13" x14ac:dyDescent="0.2"/>
  <cols>
    <col min="1" max="1" width="28" customWidth="1"/>
    <col min="2" max="2" width="70" customWidth="1"/>
  </cols>
  <sheetData>
    <row r="1" spans="1:2" ht="30" customHeight="1" x14ac:dyDescent="0.2">
      <c r="A1" s="36" t="s">
        <v>258</v>
      </c>
      <c r="B1" s="35"/>
    </row>
    <row r="2" spans="1:2" ht="20" customHeight="1" x14ac:dyDescent="0.2">
      <c r="A2" s="34" t="s">
        <v>259</v>
      </c>
      <c r="B2" s="35"/>
    </row>
    <row r="3" spans="1:2" ht="60" customHeight="1" x14ac:dyDescent="0.2">
      <c r="A3" s="10" t="s">
        <v>2</v>
      </c>
      <c r="B3" s="11" t="s">
        <v>260</v>
      </c>
    </row>
    <row r="4" spans="1:2" ht="70" customHeight="1" x14ac:dyDescent="0.2">
      <c r="A4" s="10" t="s">
        <v>4</v>
      </c>
      <c r="B4" s="11" t="s">
        <v>261</v>
      </c>
    </row>
    <row r="5" spans="1:2" ht="110" customHeight="1" x14ac:dyDescent="0.2">
      <c r="A5" s="10" t="s">
        <v>6</v>
      </c>
      <c r="B5" s="11" t="s">
        <v>262</v>
      </c>
    </row>
    <row r="6" spans="1:2" ht="100" customHeight="1" x14ac:dyDescent="0.2">
      <c r="A6" s="10" t="s">
        <v>8</v>
      </c>
      <c r="B6" s="11" t="s">
        <v>263</v>
      </c>
    </row>
    <row r="7" spans="1:2" ht="90" customHeight="1" x14ac:dyDescent="0.2">
      <c r="A7" s="10" t="s">
        <v>10</v>
      </c>
      <c r="B7" s="11" t="s">
        <v>264</v>
      </c>
    </row>
    <row r="8" spans="1:2" ht="90" customHeight="1" x14ac:dyDescent="0.2">
      <c r="A8" s="10" t="s">
        <v>12</v>
      </c>
      <c r="B8" s="12" t="s">
        <v>265</v>
      </c>
    </row>
    <row r="9" spans="1:2" ht="90" customHeight="1" x14ac:dyDescent="0.2">
      <c r="A9" s="10" t="s">
        <v>14</v>
      </c>
      <c r="B9" s="12" t="s">
        <v>266</v>
      </c>
    </row>
    <row r="10" spans="1:2" ht="110" customHeight="1" x14ac:dyDescent="0.2">
      <c r="A10" s="10" t="s">
        <v>16</v>
      </c>
      <c r="B10" s="13" t="s">
        <v>267</v>
      </c>
    </row>
    <row r="11" spans="1:2" ht="15" customHeight="1" x14ac:dyDescent="0.2">
      <c r="A11" s="32" t="s">
        <v>268</v>
      </c>
      <c r="B11" s="33"/>
    </row>
  </sheetData>
  <mergeCells count="3">
    <mergeCell ref="A11:B11"/>
    <mergeCell ref="A2:B2"/>
    <mergeCell ref="A1:B1"/>
  </mergeCells>
  <phoneticPr fontId="3"/>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tabSelected="1" topLeftCell="J1" workbookViewId="0">
      <selection activeCell="N3" sqref="N3"/>
    </sheetView>
  </sheetViews>
  <sheetFormatPr defaultRowHeight="13" x14ac:dyDescent="0.2"/>
  <cols>
    <col min="1" max="1" width="28" customWidth="1"/>
    <col min="2" max="2" width="70" customWidth="1"/>
  </cols>
  <sheetData>
    <row r="1" spans="1:2" ht="30" customHeight="1" x14ac:dyDescent="0.2">
      <c r="A1" s="36" t="s">
        <v>0</v>
      </c>
      <c r="B1" s="35"/>
    </row>
    <row r="2" spans="1:2" ht="20" customHeight="1" x14ac:dyDescent="0.2">
      <c r="A2" s="34" t="s">
        <v>1</v>
      </c>
      <c r="B2" s="35"/>
    </row>
    <row r="3" spans="1:2" ht="80" customHeight="1" x14ac:dyDescent="0.2">
      <c r="A3" s="10" t="s">
        <v>2</v>
      </c>
      <c r="B3" s="11" t="s">
        <v>3</v>
      </c>
    </row>
    <row r="4" spans="1:2" ht="60" customHeight="1" x14ac:dyDescent="0.2">
      <c r="A4" s="10" t="s">
        <v>4</v>
      </c>
      <c r="B4" s="11" t="s">
        <v>5</v>
      </c>
    </row>
    <row r="5" spans="1:2" ht="150" customHeight="1" x14ac:dyDescent="0.2">
      <c r="A5" s="10" t="s">
        <v>6</v>
      </c>
      <c r="B5" s="11" t="s">
        <v>7</v>
      </c>
    </row>
    <row r="6" spans="1:2" ht="80" customHeight="1" x14ac:dyDescent="0.2">
      <c r="A6" s="10" t="s">
        <v>8</v>
      </c>
      <c r="B6" s="11" t="s">
        <v>9</v>
      </c>
    </row>
    <row r="7" spans="1:2" ht="90" customHeight="1" x14ac:dyDescent="0.2">
      <c r="A7" s="10" t="s">
        <v>10</v>
      </c>
      <c r="B7" s="11" t="s">
        <v>11</v>
      </c>
    </row>
    <row r="8" spans="1:2" ht="100" customHeight="1" x14ac:dyDescent="0.2">
      <c r="A8" s="10" t="s">
        <v>12</v>
      </c>
      <c r="B8" s="12" t="s">
        <v>13</v>
      </c>
    </row>
    <row r="9" spans="1:2" ht="90" customHeight="1" x14ac:dyDescent="0.2">
      <c r="A9" s="10" t="s">
        <v>14</v>
      </c>
      <c r="B9" s="12" t="s">
        <v>15</v>
      </c>
    </row>
    <row r="10" spans="1:2" ht="110" customHeight="1" x14ac:dyDescent="0.2">
      <c r="A10" s="10" t="s">
        <v>16</v>
      </c>
      <c r="B10" s="13" t="s">
        <v>17</v>
      </c>
    </row>
    <row r="11" spans="1:2" ht="15" customHeight="1" x14ac:dyDescent="0.2">
      <c r="A11" s="32" t="s">
        <v>18</v>
      </c>
      <c r="B11" s="33"/>
    </row>
  </sheetData>
  <mergeCells count="3">
    <mergeCell ref="A11:B11"/>
    <mergeCell ref="A2:B2"/>
    <mergeCell ref="A1:B1"/>
  </mergeCells>
  <phoneticPr fontId="3"/>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11"/>
  <sheetViews>
    <sheetView topLeftCell="AB4" workbookViewId="0">
      <selection activeCell="X23" sqref="X23"/>
    </sheetView>
  </sheetViews>
  <sheetFormatPr defaultRowHeight="13" x14ac:dyDescent="0.2"/>
  <cols>
    <col min="1" max="1" width="28" customWidth="1"/>
    <col min="2" max="2" width="70" customWidth="1"/>
  </cols>
  <sheetData>
    <row r="1" spans="1:29" ht="30" customHeight="1" x14ac:dyDescent="0.2">
      <c r="A1" s="36" t="s">
        <v>269</v>
      </c>
      <c r="B1" s="35"/>
    </row>
    <row r="2" spans="1:29" ht="20" customHeight="1" x14ac:dyDescent="0.2">
      <c r="A2" s="34" t="s">
        <v>270</v>
      </c>
      <c r="B2" s="35"/>
    </row>
    <row r="3" spans="1:29" ht="80" customHeight="1" x14ac:dyDescent="0.2">
      <c r="A3" s="10" t="s">
        <v>2</v>
      </c>
      <c r="B3" s="18" t="s">
        <v>271</v>
      </c>
    </row>
    <row r="4" spans="1:29" ht="50" customHeight="1" x14ac:dyDescent="0.2">
      <c r="A4" s="10" t="s">
        <v>4</v>
      </c>
      <c r="B4" s="18" t="s">
        <v>272</v>
      </c>
    </row>
    <row r="5" spans="1:29" ht="120" customHeight="1" x14ac:dyDescent="0.2">
      <c r="A5" s="10" t="s">
        <v>6</v>
      </c>
      <c r="B5" s="11" t="s">
        <v>273</v>
      </c>
      <c r="AC5" t="s">
        <v>274</v>
      </c>
    </row>
    <row r="6" spans="1:29" ht="90" customHeight="1" x14ac:dyDescent="0.2">
      <c r="A6" s="10" t="s">
        <v>8</v>
      </c>
      <c r="B6" s="11" t="s">
        <v>275</v>
      </c>
    </row>
    <row r="7" spans="1:29" ht="90" customHeight="1" x14ac:dyDescent="0.2">
      <c r="A7" s="10" t="s">
        <v>10</v>
      </c>
      <c r="B7" s="11" t="s">
        <v>276</v>
      </c>
    </row>
    <row r="8" spans="1:29" ht="90" customHeight="1" x14ac:dyDescent="0.2">
      <c r="A8" s="10" t="s">
        <v>12</v>
      </c>
      <c r="B8" s="12" t="s">
        <v>277</v>
      </c>
    </row>
    <row r="9" spans="1:29" ht="100" customHeight="1" x14ac:dyDescent="0.2">
      <c r="A9" s="10" t="s">
        <v>14</v>
      </c>
      <c r="B9" s="12" t="s">
        <v>278</v>
      </c>
    </row>
    <row r="10" spans="1:29" ht="120" customHeight="1" x14ac:dyDescent="0.2">
      <c r="A10" s="10" t="s">
        <v>16</v>
      </c>
      <c r="B10" s="13" t="s">
        <v>279</v>
      </c>
    </row>
    <row r="11" spans="1:29" ht="15" customHeight="1" x14ac:dyDescent="0.2">
      <c r="A11" s="32" t="s">
        <v>280</v>
      </c>
      <c r="B11" s="33"/>
    </row>
  </sheetData>
  <mergeCells count="3">
    <mergeCell ref="A11:B11"/>
    <mergeCell ref="A2:B2"/>
    <mergeCell ref="A1:B1"/>
  </mergeCells>
  <phoneticPr fontId="3"/>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X23" sqref="X23"/>
    </sheetView>
  </sheetViews>
  <sheetFormatPr defaultRowHeight="13" x14ac:dyDescent="0.2"/>
  <cols>
    <col min="1" max="1" width="28" customWidth="1"/>
    <col min="2" max="2" width="70" customWidth="1"/>
  </cols>
  <sheetData>
    <row r="1" spans="1:2" ht="30" customHeight="1" x14ac:dyDescent="0.2">
      <c r="A1" s="36" t="s">
        <v>281</v>
      </c>
      <c r="B1" s="35"/>
    </row>
    <row r="2" spans="1:2" ht="20" customHeight="1" x14ac:dyDescent="0.2">
      <c r="A2" s="34" t="s">
        <v>282</v>
      </c>
      <c r="B2" s="35"/>
    </row>
    <row r="3" spans="1:2" ht="70" customHeight="1" x14ac:dyDescent="0.2">
      <c r="A3" s="10" t="s">
        <v>2</v>
      </c>
      <c r="B3" s="11" t="s">
        <v>283</v>
      </c>
    </row>
    <row r="4" spans="1:2" ht="60" customHeight="1" x14ac:dyDescent="0.2">
      <c r="A4" s="10" t="s">
        <v>4</v>
      </c>
      <c r="B4" s="11" t="s">
        <v>284</v>
      </c>
    </row>
    <row r="5" spans="1:2" ht="110" customHeight="1" x14ac:dyDescent="0.2">
      <c r="A5" s="10" t="s">
        <v>6</v>
      </c>
      <c r="B5" s="11" t="s">
        <v>285</v>
      </c>
    </row>
    <row r="6" spans="1:2" ht="80" customHeight="1" x14ac:dyDescent="0.2">
      <c r="A6" s="10" t="s">
        <v>8</v>
      </c>
      <c r="B6" s="11" t="s">
        <v>286</v>
      </c>
    </row>
    <row r="7" spans="1:2" ht="90" customHeight="1" x14ac:dyDescent="0.2">
      <c r="A7" s="10" t="s">
        <v>10</v>
      </c>
      <c r="B7" s="11" t="s">
        <v>287</v>
      </c>
    </row>
    <row r="8" spans="1:2" ht="80" customHeight="1" x14ac:dyDescent="0.2">
      <c r="A8" s="10" t="s">
        <v>12</v>
      </c>
      <c r="B8" s="12" t="s">
        <v>288</v>
      </c>
    </row>
    <row r="9" spans="1:2" ht="100" customHeight="1" x14ac:dyDescent="0.2">
      <c r="A9" s="10" t="s">
        <v>14</v>
      </c>
      <c r="B9" s="12" t="s">
        <v>289</v>
      </c>
    </row>
    <row r="10" spans="1:2" ht="110" customHeight="1" x14ac:dyDescent="0.2">
      <c r="A10" s="10" t="s">
        <v>16</v>
      </c>
      <c r="B10" s="13" t="s">
        <v>290</v>
      </c>
    </row>
    <row r="11" spans="1:2" ht="15" customHeight="1" x14ac:dyDescent="0.2">
      <c r="A11" s="32" t="s">
        <v>291</v>
      </c>
      <c r="B11" s="33"/>
    </row>
  </sheetData>
  <mergeCells count="3">
    <mergeCell ref="A11:B11"/>
    <mergeCell ref="A2:B2"/>
    <mergeCell ref="A1:B1"/>
  </mergeCells>
  <phoneticPr fontId="3"/>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1"/>
  <sheetViews>
    <sheetView workbookViewId="0">
      <selection activeCell="X23" sqref="X23"/>
    </sheetView>
  </sheetViews>
  <sheetFormatPr defaultRowHeight="13" x14ac:dyDescent="0.2"/>
  <cols>
    <col min="1" max="1" width="28" customWidth="1"/>
    <col min="2" max="2" width="70" customWidth="1"/>
  </cols>
  <sheetData>
    <row r="1" spans="1:2" ht="30" customHeight="1" x14ac:dyDescent="0.2">
      <c r="A1" s="36" t="s">
        <v>292</v>
      </c>
      <c r="B1" s="35"/>
    </row>
    <row r="2" spans="1:2" ht="20" customHeight="1" x14ac:dyDescent="0.2">
      <c r="A2" s="34" t="s">
        <v>293</v>
      </c>
      <c r="B2" s="35"/>
    </row>
    <row r="3" spans="1:2" ht="70" customHeight="1" x14ac:dyDescent="0.2">
      <c r="A3" s="10" t="s">
        <v>2</v>
      </c>
      <c r="B3" s="11" t="s">
        <v>294</v>
      </c>
    </row>
    <row r="4" spans="1:2" ht="70" customHeight="1" x14ac:dyDescent="0.2">
      <c r="A4" s="10" t="s">
        <v>4</v>
      </c>
      <c r="B4" s="11" t="s">
        <v>295</v>
      </c>
    </row>
    <row r="5" spans="1:2" ht="130" customHeight="1" x14ac:dyDescent="0.2">
      <c r="A5" s="10" t="s">
        <v>6</v>
      </c>
      <c r="B5" s="11" t="s">
        <v>296</v>
      </c>
    </row>
    <row r="6" spans="1:2" ht="70" customHeight="1" x14ac:dyDescent="0.2">
      <c r="A6" s="10" t="s">
        <v>8</v>
      </c>
      <c r="B6" s="11" t="s">
        <v>297</v>
      </c>
    </row>
    <row r="7" spans="1:2" ht="90" customHeight="1" x14ac:dyDescent="0.2">
      <c r="A7" s="10" t="s">
        <v>10</v>
      </c>
      <c r="B7" s="11" t="s">
        <v>298</v>
      </c>
    </row>
    <row r="8" spans="1:2" ht="100" customHeight="1" x14ac:dyDescent="0.2">
      <c r="A8" s="10" t="s">
        <v>12</v>
      </c>
      <c r="B8" s="12" t="s">
        <v>299</v>
      </c>
    </row>
    <row r="9" spans="1:2" ht="100" customHeight="1" x14ac:dyDescent="0.2">
      <c r="A9" s="10" t="s">
        <v>14</v>
      </c>
      <c r="B9" s="12" t="s">
        <v>300</v>
      </c>
    </row>
    <row r="10" spans="1:2" ht="110" customHeight="1" x14ac:dyDescent="0.2">
      <c r="A10" s="10" t="s">
        <v>16</v>
      </c>
      <c r="B10" s="13" t="s">
        <v>301</v>
      </c>
    </row>
    <row r="11" spans="1:2" ht="15" customHeight="1" x14ac:dyDescent="0.2">
      <c r="A11" s="32" t="s">
        <v>302</v>
      </c>
      <c r="B11" s="33"/>
    </row>
  </sheetData>
  <mergeCells count="3">
    <mergeCell ref="A11:B11"/>
    <mergeCell ref="A2:B2"/>
    <mergeCell ref="A1:B1"/>
  </mergeCells>
  <phoneticPr fontId="3"/>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1"/>
  <sheetViews>
    <sheetView workbookViewId="0">
      <selection activeCell="X23" sqref="X23"/>
    </sheetView>
  </sheetViews>
  <sheetFormatPr defaultRowHeight="13" x14ac:dyDescent="0.2"/>
  <cols>
    <col min="1" max="1" width="28" customWidth="1"/>
    <col min="2" max="2" width="70" customWidth="1"/>
  </cols>
  <sheetData>
    <row r="1" spans="1:2" ht="30" customHeight="1" x14ac:dyDescent="0.2">
      <c r="A1" s="36" t="s">
        <v>303</v>
      </c>
      <c r="B1" s="35"/>
    </row>
    <row r="2" spans="1:2" ht="20" customHeight="1" x14ac:dyDescent="0.2">
      <c r="A2" s="34" t="s">
        <v>304</v>
      </c>
      <c r="B2" s="35"/>
    </row>
    <row r="3" spans="1:2" ht="70" customHeight="1" x14ac:dyDescent="0.2">
      <c r="A3" s="10" t="s">
        <v>2</v>
      </c>
      <c r="B3" s="11" t="s">
        <v>305</v>
      </c>
    </row>
    <row r="4" spans="1:2" ht="70" customHeight="1" x14ac:dyDescent="0.2">
      <c r="A4" s="10" t="s">
        <v>4</v>
      </c>
      <c r="B4" s="11" t="s">
        <v>306</v>
      </c>
    </row>
    <row r="5" spans="1:2" ht="120" customHeight="1" x14ac:dyDescent="0.2">
      <c r="A5" s="10" t="s">
        <v>6</v>
      </c>
      <c r="B5" s="11" t="s">
        <v>307</v>
      </c>
    </row>
    <row r="6" spans="1:2" ht="80" customHeight="1" x14ac:dyDescent="0.2">
      <c r="A6" s="10" t="s">
        <v>8</v>
      </c>
      <c r="B6" s="11" t="s">
        <v>308</v>
      </c>
    </row>
    <row r="7" spans="1:2" ht="90" customHeight="1" x14ac:dyDescent="0.2">
      <c r="A7" s="10" t="s">
        <v>10</v>
      </c>
      <c r="B7" s="11" t="s">
        <v>309</v>
      </c>
    </row>
    <row r="8" spans="1:2" ht="100" customHeight="1" x14ac:dyDescent="0.2">
      <c r="A8" s="10" t="s">
        <v>12</v>
      </c>
      <c r="B8" s="12" t="s">
        <v>310</v>
      </c>
    </row>
    <row r="9" spans="1:2" ht="100" customHeight="1" x14ac:dyDescent="0.2">
      <c r="A9" s="10" t="s">
        <v>14</v>
      </c>
      <c r="B9" s="12" t="s">
        <v>311</v>
      </c>
    </row>
    <row r="10" spans="1:2" ht="120" customHeight="1" x14ac:dyDescent="0.2">
      <c r="A10" s="10" t="s">
        <v>16</v>
      </c>
      <c r="B10" s="13" t="s">
        <v>312</v>
      </c>
    </row>
    <row r="11" spans="1:2" ht="15" customHeight="1" x14ac:dyDescent="0.2">
      <c r="A11" s="32" t="s">
        <v>313</v>
      </c>
      <c r="B11" s="33"/>
    </row>
  </sheetData>
  <mergeCells count="3">
    <mergeCell ref="A11:B11"/>
    <mergeCell ref="A2:B2"/>
    <mergeCell ref="A1:B1"/>
  </mergeCells>
  <phoneticPr fontId="3"/>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1"/>
  <sheetViews>
    <sheetView workbookViewId="0">
      <selection activeCell="X23" sqref="X23"/>
    </sheetView>
  </sheetViews>
  <sheetFormatPr defaultRowHeight="13" x14ac:dyDescent="0.2"/>
  <cols>
    <col min="1" max="1" width="28" customWidth="1"/>
    <col min="2" max="2" width="70" customWidth="1"/>
  </cols>
  <sheetData>
    <row r="1" spans="1:2" ht="30" customHeight="1" x14ac:dyDescent="0.2">
      <c r="A1" s="36" t="s">
        <v>314</v>
      </c>
      <c r="B1" s="35"/>
    </row>
    <row r="2" spans="1:2" ht="20" customHeight="1" x14ac:dyDescent="0.2">
      <c r="A2" s="34" t="s">
        <v>315</v>
      </c>
      <c r="B2" s="35"/>
    </row>
    <row r="3" spans="1:2" ht="70" customHeight="1" x14ac:dyDescent="0.2">
      <c r="A3" s="10" t="s">
        <v>2</v>
      </c>
      <c r="B3" s="11" t="s">
        <v>316</v>
      </c>
    </row>
    <row r="4" spans="1:2" ht="70" customHeight="1" x14ac:dyDescent="0.2">
      <c r="A4" s="10" t="s">
        <v>4</v>
      </c>
      <c r="B4" s="11" t="s">
        <v>317</v>
      </c>
    </row>
    <row r="5" spans="1:2" ht="120" customHeight="1" x14ac:dyDescent="0.2">
      <c r="A5" s="10" t="s">
        <v>6</v>
      </c>
      <c r="B5" s="11" t="s">
        <v>318</v>
      </c>
    </row>
    <row r="6" spans="1:2" ht="80" customHeight="1" x14ac:dyDescent="0.2">
      <c r="A6" s="10" t="s">
        <v>8</v>
      </c>
      <c r="B6" s="11" t="s">
        <v>319</v>
      </c>
    </row>
    <row r="7" spans="1:2" ht="90" customHeight="1" x14ac:dyDescent="0.2">
      <c r="A7" s="10" t="s">
        <v>10</v>
      </c>
      <c r="B7" s="11" t="s">
        <v>320</v>
      </c>
    </row>
    <row r="8" spans="1:2" ht="110" customHeight="1" x14ac:dyDescent="0.2">
      <c r="A8" s="10" t="s">
        <v>12</v>
      </c>
      <c r="B8" s="12" t="s">
        <v>321</v>
      </c>
    </row>
    <row r="9" spans="1:2" ht="90" customHeight="1" x14ac:dyDescent="0.2">
      <c r="A9" s="10" t="s">
        <v>14</v>
      </c>
      <c r="B9" s="12" t="s">
        <v>322</v>
      </c>
    </row>
    <row r="10" spans="1:2" ht="120" customHeight="1" x14ac:dyDescent="0.2">
      <c r="A10" s="10" t="s">
        <v>16</v>
      </c>
      <c r="B10" s="13" t="s">
        <v>323</v>
      </c>
    </row>
    <row r="11" spans="1:2" ht="15" customHeight="1" x14ac:dyDescent="0.2">
      <c r="A11" s="32" t="s">
        <v>324</v>
      </c>
      <c r="B11" s="33"/>
    </row>
  </sheetData>
  <mergeCells count="3">
    <mergeCell ref="A11:B11"/>
    <mergeCell ref="A2:B2"/>
    <mergeCell ref="A1:B1"/>
  </mergeCells>
  <phoneticPr fontId="3"/>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election activeCell="X23" sqref="X23"/>
    </sheetView>
  </sheetViews>
  <sheetFormatPr defaultRowHeight="13" x14ac:dyDescent="0.2"/>
  <cols>
    <col min="1" max="1" width="28" customWidth="1"/>
    <col min="2" max="2" width="70" customWidth="1"/>
  </cols>
  <sheetData>
    <row r="1" spans="1:2" ht="30" customHeight="1" x14ac:dyDescent="0.2">
      <c r="A1" s="36" t="s">
        <v>325</v>
      </c>
      <c r="B1" s="35"/>
    </row>
    <row r="2" spans="1:2" ht="20" customHeight="1" x14ac:dyDescent="0.2">
      <c r="A2" s="34" t="s">
        <v>326</v>
      </c>
      <c r="B2" s="35"/>
    </row>
    <row r="3" spans="1:2" ht="70" customHeight="1" x14ac:dyDescent="0.2">
      <c r="A3" s="10" t="s">
        <v>2</v>
      </c>
      <c r="B3" s="11" t="s">
        <v>327</v>
      </c>
    </row>
    <row r="4" spans="1:2" ht="50" customHeight="1" x14ac:dyDescent="0.2">
      <c r="A4" s="10" t="s">
        <v>4</v>
      </c>
      <c r="B4" s="11" t="s">
        <v>328</v>
      </c>
    </row>
    <row r="5" spans="1:2" ht="100" customHeight="1" x14ac:dyDescent="0.2">
      <c r="A5" s="10" t="s">
        <v>6</v>
      </c>
      <c r="B5" s="11" t="s">
        <v>329</v>
      </c>
    </row>
    <row r="6" spans="1:2" ht="70" customHeight="1" x14ac:dyDescent="0.2">
      <c r="A6" s="10" t="s">
        <v>8</v>
      </c>
      <c r="B6" s="11" t="s">
        <v>330</v>
      </c>
    </row>
    <row r="7" spans="1:2" ht="90" customHeight="1" x14ac:dyDescent="0.2">
      <c r="A7" s="10" t="s">
        <v>10</v>
      </c>
      <c r="B7" s="11" t="s">
        <v>331</v>
      </c>
    </row>
    <row r="8" spans="1:2" ht="110" customHeight="1" x14ac:dyDescent="0.2">
      <c r="A8" s="10" t="s">
        <v>12</v>
      </c>
      <c r="B8" s="12" t="s">
        <v>332</v>
      </c>
    </row>
    <row r="9" spans="1:2" ht="100" customHeight="1" x14ac:dyDescent="0.2">
      <c r="A9" s="10" t="s">
        <v>14</v>
      </c>
      <c r="B9" s="12" t="s">
        <v>333</v>
      </c>
    </row>
    <row r="10" spans="1:2" ht="110" customHeight="1" x14ac:dyDescent="0.2">
      <c r="A10" s="10" t="s">
        <v>16</v>
      </c>
      <c r="B10" s="13" t="s">
        <v>334</v>
      </c>
    </row>
    <row r="11" spans="1:2" ht="15" customHeight="1" x14ac:dyDescent="0.2">
      <c r="A11" s="32" t="s">
        <v>335</v>
      </c>
      <c r="B11" s="33"/>
    </row>
  </sheetData>
  <mergeCells count="3">
    <mergeCell ref="A11:B11"/>
    <mergeCell ref="A2:B2"/>
    <mergeCell ref="A1:B1"/>
  </mergeCells>
  <phoneticPr fontId="3"/>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1"/>
  <sheetViews>
    <sheetView workbookViewId="0">
      <selection activeCell="X23" sqref="X23"/>
    </sheetView>
  </sheetViews>
  <sheetFormatPr defaultRowHeight="13" x14ac:dyDescent="0.2"/>
  <cols>
    <col min="1" max="1" width="28" customWidth="1"/>
    <col min="2" max="2" width="70" customWidth="1"/>
  </cols>
  <sheetData>
    <row r="1" spans="1:2" ht="30" customHeight="1" x14ac:dyDescent="0.2">
      <c r="A1" s="36" t="s">
        <v>336</v>
      </c>
      <c r="B1" s="35"/>
    </row>
    <row r="2" spans="1:2" ht="20" customHeight="1" x14ac:dyDescent="0.2">
      <c r="A2" s="34" t="s">
        <v>337</v>
      </c>
      <c r="B2" s="35"/>
    </row>
    <row r="3" spans="1:2" ht="70" customHeight="1" x14ac:dyDescent="0.2">
      <c r="A3" s="10" t="s">
        <v>2</v>
      </c>
      <c r="B3" s="11" t="s">
        <v>338</v>
      </c>
    </row>
    <row r="4" spans="1:2" ht="70" customHeight="1" x14ac:dyDescent="0.2">
      <c r="A4" s="10" t="s">
        <v>4</v>
      </c>
      <c r="B4" s="11" t="s">
        <v>339</v>
      </c>
    </row>
    <row r="5" spans="1:2" ht="110" customHeight="1" x14ac:dyDescent="0.2">
      <c r="A5" s="10" t="s">
        <v>6</v>
      </c>
      <c r="B5" s="11" t="s">
        <v>340</v>
      </c>
    </row>
    <row r="6" spans="1:2" ht="70" customHeight="1" x14ac:dyDescent="0.2">
      <c r="A6" s="10" t="s">
        <v>8</v>
      </c>
      <c r="B6" s="11" t="s">
        <v>341</v>
      </c>
    </row>
    <row r="7" spans="1:2" ht="90" customHeight="1" x14ac:dyDescent="0.2">
      <c r="A7" s="10" t="s">
        <v>10</v>
      </c>
      <c r="B7" s="11" t="s">
        <v>342</v>
      </c>
    </row>
    <row r="8" spans="1:2" ht="100" customHeight="1" x14ac:dyDescent="0.2">
      <c r="A8" s="10" t="s">
        <v>12</v>
      </c>
      <c r="B8" s="12" t="s">
        <v>343</v>
      </c>
    </row>
    <row r="9" spans="1:2" ht="90" customHeight="1" x14ac:dyDescent="0.2">
      <c r="A9" s="10" t="s">
        <v>14</v>
      </c>
      <c r="B9" s="12" t="s">
        <v>344</v>
      </c>
    </row>
    <row r="10" spans="1:2" ht="110" customHeight="1" x14ac:dyDescent="0.2">
      <c r="A10" s="10" t="s">
        <v>16</v>
      </c>
      <c r="B10" s="13" t="s">
        <v>345</v>
      </c>
    </row>
    <row r="11" spans="1:2" ht="15" customHeight="1" x14ac:dyDescent="0.2">
      <c r="A11" s="32" t="s">
        <v>346</v>
      </c>
      <c r="B11" s="33"/>
    </row>
  </sheetData>
  <mergeCells count="3">
    <mergeCell ref="A11:B11"/>
    <mergeCell ref="A2:B2"/>
    <mergeCell ref="A1:B1"/>
  </mergeCells>
  <phoneticPr fontId="3"/>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1"/>
  <sheetViews>
    <sheetView workbookViewId="0">
      <selection activeCell="X23" sqref="X23"/>
    </sheetView>
  </sheetViews>
  <sheetFormatPr defaultRowHeight="13" x14ac:dyDescent="0.2"/>
  <cols>
    <col min="1" max="1" width="28" customWidth="1"/>
    <col min="2" max="2" width="70" customWidth="1"/>
  </cols>
  <sheetData>
    <row r="1" spans="1:2" ht="30" customHeight="1" x14ac:dyDescent="0.2">
      <c r="A1" s="36" t="s">
        <v>347</v>
      </c>
      <c r="B1" s="35"/>
    </row>
    <row r="2" spans="1:2" ht="20" customHeight="1" x14ac:dyDescent="0.2">
      <c r="A2" s="34" t="s">
        <v>348</v>
      </c>
      <c r="B2" s="35"/>
    </row>
    <row r="3" spans="1:2" ht="70" customHeight="1" x14ac:dyDescent="0.2">
      <c r="A3" s="10" t="s">
        <v>2</v>
      </c>
      <c r="B3" s="11" t="s">
        <v>349</v>
      </c>
    </row>
    <row r="4" spans="1:2" ht="70" customHeight="1" x14ac:dyDescent="0.2">
      <c r="A4" s="10" t="s">
        <v>4</v>
      </c>
      <c r="B4" s="11" t="s">
        <v>350</v>
      </c>
    </row>
    <row r="5" spans="1:2" ht="130" customHeight="1" x14ac:dyDescent="0.2">
      <c r="A5" s="10" t="s">
        <v>6</v>
      </c>
      <c r="B5" s="11" t="s">
        <v>351</v>
      </c>
    </row>
    <row r="6" spans="1:2" ht="70" customHeight="1" x14ac:dyDescent="0.2">
      <c r="A6" s="10" t="s">
        <v>8</v>
      </c>
      <c r="B6" s="11" t="s">
        <v>352</v>
      </c>
    </row>
    <row r="7" spans="1:2" ht="90" customHeight="1" x14ac:dyDescent="0.2">
      <c r="A7" s="10" t="s">
        <v>10</v>
      </c>
      <c r="B7" s="11" t="s">
        <v>353</v>
      </c>
    </row>
    <row r="8" spans="1:2" ht="90" customHeight="1" x14ac:dyDescent="0.2">
      <c r="A8" s="10" t="s">
        <v>12</v>
      </c>
      <c r="B8" s="12" t="s">
        <v>354</v>
      </c>
    </row>
    <row r="9" spans="1:2" ht="90" customHeight="1" x14ac:dyDescent="0.2">
      <c r="A9" s="10" t="s">
        <v>14</v>
      </c>
      <c r="B9" s="12" t="s">
        <v>355</v>
      </c>
    </row>
    <row r="10" spans="1:2" ht="110" customHeight="1" x14ac:dyDescent="0.2">
      <c r="A10" s="10" t="s">
        <v>16</v>
      </c>
      <c r="B10" s="13" t="s">
        <v>356</v>
      </c>
    </row>
    <row r="11" spans="1:2" ht="15" customHeight="1" x14ac:dyDescent="0.2">
      <c r="A11" s="32" t="s">
        <v>357</v>
      </c>
      <c r="B11" s="33"/>
    </row>
  </sheetData>
  <mergeCells count="3">
    <mergeCell ref="A11:B11"/>
    <mergeCell ref="A2:B2"/>
    <mergeCell ref="A1:B1"/>
  </mergeCells>
  <phoneticPr fontId="3"/>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1"/>
  <sheetViews>
    <sheetView workbookViewId="0">
      <selection activeCell="X23" sqref="X23"/>
    </sheetView>
  </sheetViews>
  <sheetFormatPr defaultRowHeight="13" x14ac:dyDescent="0.2"/>
  <cols>
    <col min="1" max="1" width="28" customWidth="1"/>
    <col min="2" max="2" width="70" customWidth="1"/>
  </cols>
  <sheetData>
    <row r="1" spans="1:2" ht="30" customHeight="1" x14ac:dyDescent="0.2">
      <c r="A1" s="36" t="s">
        <v>358</v>
      </c>
      <c r="B1" s="35"/>
    </row>
    <row r="2" spans="1:2" ht="20" customHeight="1" x14ac:dyDescent="0.2">
      <c r="A2" s="34" t="s">
        <v>359</v>
      </c>
      <c r="B2" s="35"/>
    </row>
    <row r="3" spans="1:2" ht="60" customHeight="1" x14ac:dyDescent="0.2">
      <c r="A3" s="10" t="s">
        <v>2</v>
      </c>
      <c r="B3" s="11" t="s">
        <v>360</v>
      </c>
    </row>
    <row r="4" spans="1:2" ht="60" customHeight="1" x14ac:dyDescent="0.2">
      <c r="A4" s="10" t="s">
        <v>4</v>
      </c>
      <c r="B4" s="11" t="s">
        <v>361</v>
      </c>
    </row>
    <row r="5" spans="1:2" ht="110" customHeight="1" x14ac:dyDescent="0.2">
      <c r="A5" s="10" t="s">
        <v>6</v>
      </c>
      <c r="B5" s="11" t="s">
        <v>362</v>
      </c>
    </row>
    <row r="6" spans="1:2" ht="80" customHeight="1" x14ac:dyDescent="0.2">
      <c r="A6" s="10" t="s">
        <v>8</v>
      </c>
      <c r="B6" s="11" t="s">
        <v>363</v>
      </c>
    </row>
    <row r="7" spans="1:2" ht="90" customHeight="1" x14ac:dyDescent="0.2">
      <c r="A7" s="10" t="s">
        <v>10</v>
      </c>
      <c r="B7" s="11" t="s">
        <v>364</v>
      </c>
    </row>
    <row r="8" spans="1:2" ht="110" customHeight="1" x14ac:dyDescent="0.2">
      <c r="A8" s="10" t="s">
        <v>12</v>
      </c>
      <c r="B8" s="12" t="s">
        <v>365</v>
      </c>
    </row>
    <row r="9" spans="1:2" ht="100" customHeight="1" x14ac:dyDescent="0.2">
      <c r="A9" s="10" t="s">
        <v>14</v>
      </c>
      <c r="B9" s="12" t="s">
        <v>366</v>
      </c>
    </row>
    <row r="10" spans="1:2" ht="120" customHeight="1" x14ac:dyDescent="0.2">
      <c r="A10" s="10" t="s">
        <v>16</v>
      </c>
      <c r="B10" s="13" t="s">
        <v>367</v>
      </c>
    </row>
    <row r="11" spans="1:2" ht="15" customHeight="1" x14ac:dyDescent="0.2">
      <c r="A11" s="32" t="s">
        <v>368</v>
      </c>
      <c r="B11" s="33"/>
    </row>
  </sheetData>
  <mergeCells count="3">
    <mergeCell ref="A11:B11"/>
    <mergeCell ref="A2:B2"/>
    <mergeCell ref="A1:B1"/>
  </mergeCells>
  <phoneticPr fontId="3"/>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1"/>
  <sheetViews>
    <sheetView workbookViewId="0">
      <selection activeCell="X23" sqref="X23"/>
    </sheetView>
  </sheetViews>
  <sheetFormatPr defaultRowHeight="13" x14ac:dyDescent="0.2"/>
  <cols>
    <col min="1" max="1" width="28" customWidth="1"/>
    <col min="2" max="2" width="70" customWidth="1"/>
  </cols>
  <sheetData>
    <row r="1" spans="1:2" ht="30" customHeight="1" x14ac:dyDescent="0.2">
      <c r="A1" s="8" t="s">
        <v>369</v>
      </c>
      <c r="B1" s="15"/>
    </row>
    <row r="2" spans="1:2" ht="20" customHeight="1" x14ac:dyDescent="0.2">
      <c r="A2" s="9" t="s">
        <v>370</v>
      </c>
      <c r="B2" s="15"/>
    </row>
    <row r="3" spans="1:2" ht="80" customHeight="1" x14ac:dyDescent="0.2">
      <c r="A3" s="10" t="s">
        <v>2</v>
      </c>
      <c r="B3" s="11" t="s">
        <v>371</v>
      </c>
    </row>
    <row r="4" spans="1:2" ht="80" customHeight="1" x14ac:dyDescent="0.2">
      <c r="A4" s="10" t="s">
        <v>4</v>
      </c>
      <c r="B4" s="11" t="s">
        <v>372</v>
      </c>
    </row>
    <row r="5" spans="1:2" ht="80" customHeight="1" x14ac:dyDescent="0.2">
      <c r="A5" s="10" t="s">
        <v>6</v>
      </c>
      <c r="B5" s="11" t="s">
        <v>373</v>
      </c>
    </row>
    <row r="6" spans="1:2" ht="80" customHeight="1" x14ac:dyDescent="0.2">
      <c r="A6" s="10" t="s">
        <v>8</v>
      </c>
      <c r="B6" s="11" t="s">
        <v>374</v>
      </c>
    </row>
    <row r="7" spans="1:2" ht="80" customHeight="1" x14ac:dyDescent="0.2">
      <c r="A7" s="10" t="s">
        <v>10</v>
      </c>
      <c r="B7" s="11" t="s">
        <v>375</v>
      </c>
    </row>
    <row r="8" spans="1:2" ht="80" customHeight="1" x14ac:dyDescent="0.2">
      <c r="A8" s="10" t="s">
        <v>12</v>
      </c>
      <c r="B8" s="12" t="s">
        <v>376</v>
      </c>
    </row>
    <row r="9" spans="1:2" ht="100" customHeight="1" x14ac:dyDescent="0.2">
      <c r="A9" s="10" t="s">
        <v>14</v>
      </c>
      <c r="B9" s="12" t="s">
        <v>377</v>
      </c>
    </row>
    <row r="10" spans="1:2" ht="120" customHeight="1" x14ac:dyDescent="0.2">
      <c r="A10" s="10" t="s">
        <v>16</v>
      </c>
      <c r="B10" s="13" t="s">
        <v>378</v>
      </c>
    </row>
    <row r="11" spans="1:2" ht="15" customHeight="1" x14ac:dyDescent="0.2">
      <c r="A11" s="14" t="s">
        <v>379</v>
      </c>
    </row>
  </sheetData>
  <phoneticPr fontId="3"/>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1"/>
  <sheetViews>
    <sheetView workbookViewId="0">
      <selection activeCell="X23" sqref="X23"/>
    </sheetView>
  </sheetViews>
  <sheetFormatPr defaultRowHeight="13" x14ac:dyDescent="0.2"/>
  <cols>
    <col min="1" max="1" width="28" customWidth="1"/>
    <col min="2" max="2" width="70" customWidth="1"/>
  </cols>
  <sheetData>
    <row r="1" spans="1:2" ht="30" customHeight="1" x14ac:dyDescent="0.2">
      <c r="A1" s="8" t="s">
        <v>380</v>
      </c>
      <c r="B1" s="15"/>
    </row>
    <row r="2" spans="1:2" ht="20" customHeight="1" x14ac:dyDescent="0.2">
      <c r="A2" s="9" t="s">
        <v>381</v>
      </c>
      <c r="B2" s="15"/>
    </row>
    <row r="3" spans="1:2" ht="80" customHeight="1" x14ac:dyDescent="0.2">
      <c r="A3" s="10" t="s">
        <v>2</v>
      </c>
      <c r="B3" s="11" t="s">
        <v>382</v>
      </c>
    </row>
    <row r="4" spans="1:2" ht="80" customHeight="1" x14ac:dyDescent="0.2">
      <c r="A4" s="10" t="s">
        <v>4</v>
      </c>
      <c r="B4" s="11" t="s">
        <v>383</v>
      </c>
    </row>
    <row r="5" spans="1:2" ht="80" customHeight="1" x14ac:dyDescent="0.2">
      <c r="A5" s="10" t="s">
        <v>6</v>
      </c>
      <c r="B5" s="11" t="s">
        <v>384</v>
      </c>
    </row>
    <row r="6" spans="1:2" ht="80" customHeight="1" x14ac:dyDescent="0.2">
      <c r="A6" s="10" t="s">
        <v>8</v>
      </c>
      <c r="B6" s="11" t="s">
        <v>385</v>
      </c>
    </row>
    <row r="7" spans="1:2" ht="80" customHeight="1" x14ac:dyDescent="0.2">
      <c r="A7" s="10" t="s">
        <v>10</v>
      </c>
      <c r="B7" s="11" t="s">
        <v>386</v>
      </c>
    </row>
    <row r="8" spans="1:2" ht="80" customHeight="1" x14ac:dyDescent="0.2">
      <c r="A8" s="10" t="s">
        <v>12</v>
      </c>
      <c r="B8" s="12" t="s">
        <v>387</v>
      </c>
    </row>
    <row r="9" spans="1:2" ht="100" customHeight="1" x14ac:dyDescent="0.2">
      <c r="A9" s="10" t="s">
        <v>14</v>
      </c>
      <c r="B9" s="12" t="s">
        <v>388</v>
      </c>
    </row>
    <row r="10" spans="1:2" ht="120" customHeight="1" x14ac:dyDescent="0.2">
      <c r="A10" s="10" t="s">
        <v>16</v>
      </c>
      <c r="B10" s="13" t="s">
        <v>389</v>
      </c>
    </row>
    <row r="11" spans="1:2" ht="15" customHeight="1" x14ac:dyDescent="0.2">
      <c r="A11" s="14" t="s">
        <v>390</v>
      </c>
    </row>
  </sheetData>
  <phoneticPr fontId="3"/>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1"/>
  <sheetViews>
    <sheetView workbookViewId="0">
      <selection activeCell="X23" sqref="X23"/>
    </sheetView>
  </sheetViews>
  <sheetFormatPr defaultRowHeight="13" x14ac:dyDescent="0.2"/>
  <cols>
    <col min="1" max="1" width="28" customWidth="1"/>
    <col min="2" max="2" width="70" customWidth="1"/>
  </cols>
  <sheetData>
    <row r="1" spans="1:2" ht="30" customHeight="1" x14ac:dyDescent="0.2">
      <c r="A1" s="8" t="s">
        <v>391</v>
      </c>
      <c r="B1" s="15"/>
    </row>
    <row r="2" spans="1:2" ht="20" customHeight="1" x14ac:dyDescent="0.2">
      <c r="A2" s="9" t="s">
        <v>392</v>
      </c>
      <c r="B2" s="15"/>
    </row>
    <row r="3" spans="1:2" ht="80" customHeight="1" x14ac:dyDescent="0.2">
      <c r="A3" s="10" t="s">
        <v>2</v>
      </c>
      <c r="B3" s="11" t="s">
        <v>393</v>
      </c>
    </row>
    <row r="4" spans="1:2" ht="80" customHeight="1" x14ac:dyDescent="0.2">
      <c r="A4" s="10" t="s">
        <v>4</v>
      </c>
      <c r="B4" s="11" t="s">
        <v>394</v>
      </c>
    </row>
    <row r="5" spans="1:2" ht="80" customHeight="1" x14ac:dyDescent="0.2">
      <c r="A5" s="10" t="s">
        <v>6</v>
      </c>
      <c r="B5" s="11" t="s">
        <v>395</v>
      </c>
    </row>
    <row r="6" spans="1:2" ht="80" customHeight="1" x14ac:dyDescent="0.2">
      <c r="A6" s="10" t="s">
        <v>8</v>
      </c>
      <c r="B6" s="11" t="s">
        <v>396</v>
      </c>
    </row>
    <row r="7" spans="1:2" ht="80" customHeight="1" x14ac:dyDescent="0.2">
      <c r="A7" s="10" t="s">
        <v>10</v>
      </c>
      <c r="B7" s="11" t="s">
        <v>397</v>
      </c>
    </row>
    <row r="8" spans="1:2" ht="80" customHeight="1" x14ac:dyDescent="0.2">
      <c r="A8" s="10" t="s">
        <v>12</v>
      </c>
      <c r="B8" s="12" t="s">
        <v>398</v>
      </c>
    </row>
    <row r="9" spans="1:2" ht="100" customHeight="1" x14ac:dyDescent="0.2">
      <c r="A9" s="10" t="s">
        <v>14</v>
      </c>
      <c r="B9" s="12" t="s">
        <v>399</v>
      </c>
    </row>
    <row r="10" spans="1:2" ht="120" customHeight="1" x14ac:dyDescent="0.2">
      <c r="A10" s="10" t="s">
        <v>16</v>
      </c>
      <c r="B10" s="13" t="s">
        <v>400</v>
      </c>
    </row>
    <row r="11" spans="1:2" ht="15" customHeight="1" x14ac:dyDescent="0.2">
      <c r="A11" s="14" t="s">
        <v>401</v>
      </c>
    </row>
  </sheetData>
  <phoneticPr fontId="3"/>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11"/>
  <sheetViews>
    <sheetView workbookViewId="0">
      <selection activeCell="X23" sqref="X23"/>
    </sheetView>
  </sheetViews>
  <sheetFormatPr defaultRowHeight="13" x14ac:dyDescent="0.2"/>
  <cols>
    <col min="1" max="1" width="28" customWidth="1"/>
    <col min="2" max="2" width="70" customWidth="1"/>
  </cols>
  <sheetData>
    <row r="1" spans="1:2" ht="30" customHeight="1" x14ac:dyDescent="0.2">
      <c r="A1" s="8" t="s">
        <v>402</v>
      </c>
      <c r="B1" s="15"/>
    </row>
    <row r="2" spans="1:2" ht="20" customHeight="1" x14ac:dyDescent="0.2">
      <c r="A2" s="9" t="s">
        <v>403</v>
      </c>
      <c r="B2" s="15"/>
    </row>
    <row r="3" spans="1:2" ht="80" customHeight="1" x14ac:dyDescent="0.2">
      <c r="A3" s="10" t="s">
        <v>2</v>
      </c>
      <c r="B3" s="11" t="s">
        <v>404</v>
      </c>
    </row>
    <row r="4" spans="1:2" ht="80" customHeight="1" x14ac:dyDescent="0.2">
      <c r="A4" s="10" t="s">
        <v>4</v>
      </c>
      <c r="B4" s="11" t="s">
        <v>405</v>
      </c>
    </row>
    <row r="5" spans="1:2" ht="80" customHeight="1" x14ac:dyDescent="0.2">
      <c r="A5" s="10" t="s">
        <v>6</v>
      </c>
      <c r="B5" s="11" t="s">
        <v>406</v>
      </c>
    </row>
    <row r="6" spans="1:2" ht="80" customHeight="1" x14ac:dyDescent="0.2">
      <c r="A6" s="10" t="s">
        <v>8</v>
      </c>
      <c r="B6" s="11" t="s">
        <v>407</v>
      </c>
    </row>
    <row r="7" spans="1:2" ht="80" customHeight="1" x14ac:dyDescent="0.2">
      <c r="A7" s="10" t="s">
        <v>10</v>
      </c>
      <c r="B7" s="11" t="s">
        <v>408</v>
      </c>
    </row>
    <row r="8" spans="1:2" ht="80" customHeight="1" x14ac:dyDescent="0.2">
      <c r="A8" s="10" t="s">
        <v>12</v>
      </c>
      <c r="B8" s="12" t="s">
        <v>409</v>
      </c>
    </row>
    <row r="9" spans="1:2" ht="100" customHeight="1" x14ac:dyDescent="0.2">
      <c r="A9" s="10" t="s">
        <v>14</v>
      </c>
      <c r="B9" s="12" t="s">
        <v>410</v>
      </c>
    </row>
    <row r="10" spans="1:2" ht="120" customHeight="1" x14ac:dyDescent="0.2">
      <c r="A10" s="10" t="s">
        <v>16</v>
      </c>
      <c r="B10" s="13" t="s">
        <v>411</v>
      </c>
    </row>
    <row r="11" spans="1:2" ht="15" customHeight="1" x14ac:dyDescent="0.2">
      <c r="A11" s="14" t="s">
        <v>412</v>
      </c>
    </row>
  </sheetData>
  <phoneticPr fontId="3"/>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11"/>
  <sheetViews>
    <sheetView workbookViewId="0">
      <selection activeCell="X23" sqref="X23"/>
    </sheetView>
  </sheetViews>
  <sheetFormatPr defaultRowHeight="13" x14ac:dyDescent="0.2"/>
  <cols>
    <col min="1" max="1" width="28" customWidth="1"/>
    <col min="2" max="2" width="70" customWidth="1"/>
  </cols>
  <sheetData>
    <row r="1" spans="1:2" ht="30" customHeight="1" x14ac:dyDescent="0.2">
      <c r="A1" s="8" t="s">
        <v>413</v>
      </c>
      <c r="B1" s="15"/>
    </row>
    <row r="2" spans="1:2" ht="20" customHeight="1" x14ac:dyDescent="0.2">
      <c r="A2" s="9" t="s">
        <v>414</v>
      </c>
      <c r="B2" s="15"/>
    </row>
    <row r="3" spans="1:2" ht="80" customHeight="1" x14ac:dyDescent="0.2">
      <c r="A3" s="10" t="s">
        <v>2</v>
      </c>
      <c r="B3" s="11" t="s">
        <v>415</v>
      </c>
    </row>
    <row r="4" spans="1:2" ht="80" customHeight="1" x14ac:dyDescent="0.2">
      <c r="A4" s="10" t="s">
        <v>4</v>
      </c>
      <c r="B4" s="11" t="s">
        <v>416</v>
      </c>
    </row>
    <row r="5" spans="1:2" ht="80" customHeight="1" x14ac:dyDescent="0.2">
      <c r="A5" s="10" t="s">
        <v>6</v>
      </c>
      <c r="B5" s="11" t="s">
        <v>417</v>
      </c>
    </row>
    <row r="6" spans="1:2" ht="80" customHeight="1" x14ac:dyDescent="0.2">
      <c r="A6" s="10" t="s">
        <v>8</v>
      </c>
      <c r="B6" s="11" t="s">
        <v>418</v>
      </c>
    </row>
    <row r="7" spans="1:2" ht="80" customHeight="1" x14ac:dyDescent="0.2">
      <c r="A7" s="10" t="s">
        <v>10</v>
      </c>
      <c r="B7" s="11" t="s">
        <v>419</v>
      </c>
    </row>
    <row r="8" spans="1:2" ht="80" customHeight="1" x14ac:dyDescent="0.2">
      <c r="A8" s="10" t="s">
        <v>12</v>
      </c>
      <c r="B8" s="12" t="s">
        <v>420</v>
      </c>
    </row>
    <row r="9" spans="1:2" ht="100" customHeight="1" x14ac:dyDescent="0.2">
      <c r="A9" s="10" t="s">
        <v>14</v>
      </c>
      <c r="B9" s="12" t="s">
        <v>421</v>
      </c>
    </row>
    <row r="10" spans="1:2" ht="120" customHeight="1" x14ac:dyDescent="0.2">
      <c r="A10" s="10" t="s">
        <v>16</v>
      </c>
      <c r="B10" s="13" t="s">
        <v>422</v>
      </c>
    </row>
    <row r="11" spans="1:2" ht="15" customHeight="1" x14ac:dyDescent="0.2">
      <c r="A11" s="14" t="s">
        <v>423</v>
      </c>
    </row>
  </sheetData>
  <phoneticPr fontId="3"/>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1"/>
  <sheetViews>
    <sheetView workbookViewId="0">
      <selection activeCell="X23" sqref="X23"/>
    </sheetView>
  </sheetViews>
  <sheetFormatPr defaultRowHeight="13" x14ac:dyDescent="0.2"/>
  <cols>
    <col min="1" max="1" width="28" customWidth="1"/>
    <col min="2" max="2" width="70" customWidth="1"/>
  </cols>
  <sheetData>
    <row r="1" spans="1:2" ht="30" customHeight="1" x14ac:dyDescent="0.2">
      <c r="A1" s="8" t="s">
        <v>424</v>
      </c>
      <c r="B1" s="15"/>
    </row>
    <row r="2" spans="1:2" ht="20" customHeight="1" x14ac:dyDescent="0.2">
      <c r="A2" s="9" t="s">
        <v>425</v>
      </c>
      <c r="B2" s="15"/>
    </row>
    <row r="3" spans="1:2" ht="80" customHeight="1" x14ac:dyDescent="0.2">
      <c r="A3" s="10" t="s">
        <v>2</v>
      </c>
      <c r="B3" s="11" t="s">
        <v>426</v>
      </c>
    </row>
    <row r="4" spans="1:2" ht="80" customHeight="1" x14ac:dyDescent="0.2">
      <c r="A4" s="10" t="s">
        <v>4</v>
      </c>
      <c r="B4" s="11" t="s">
        <v>427</v>
      </c>
    </row>
    <row r="5" spans="1:2" ht="80" customHeight="1" x14ac:dyDescent="0.2">
      <c r="A5" s="10" t="s">
        <v>6</v>
      </c>
      <c r="B5" s="11" t="s">
        <v>428</v>
      </c>
    </row>
    <row r="6" spans="1:2" ht="80" customHeight="1" x14ac:dyDescent="0.2">
      <c r="A6" s="10" t="s">
        <v>8</v>
      </c>
      <c r="B6" s="11" t="s">
        <v>429</v>
      </c>
    </row>
    <row r="7" spans="1:2" ht="80" customHeight="1" x14ac:dyDescent="0.2">
      <c r="A7" s="10" t="s">
        <v>10</v>
      </c>
      <c r="B7" s="11" t="s">
        <v>430</v>
      </c>
    </row>
    <row r="8" spans="1:2" ht="80" customHeight="1" x14ac:dyDescent="0.2">
      <c r="A8" s="10" t="s">
        <v>12</v>
      </c>
      <c r="B8" s="12" t="s">
        <v>431</v>
      </c>
    </row>
    <row r="9" spans="1:2" ht="100" customHeight="1" x14ac:dyDescent="0.2">
      <c r="A9" s="10" t="s">
        <v>14</v>
      </c>
      <c r="B9" s="12" t="s">
        <v>432</v>
      </c>
    </row>
    <row r="10" spans="1:2" ht="120" customHeight="1" x14ac:dyDescent="0.2">
      <c r="A10" s="10" t="s">
        <v>16</v>
      </c>
      <c r="B10" s="13" t="s">
        <v>433</v>
      </c>
    </row>
    <row r="11" spans="1:2" ht="15" customHeight="1" x14ac:dyDescent="0.2">
      <c r="A11" s="14" t="s">
        <v>434</v>
      </c>
    </row>
  </sheetData>
  <phoneticPr fontId="3"/>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1"/>
  <sheetViews>
    <sheetView workbookViewId="0"/>
  </sheetViews>
  <sheetFormatPr defaultRowHeight="13" x14ac:dyDescent="0.2"/>
  <cols>
    <col min="1" max="1" width="22" customWidth="1"/>
    <col min="2" max="2" width="80" customWidth="1"/>
  </cols>
  <sheetData>
    <row r="1" spans="1:2" ht="30" customHeight="1" x14ac:dyDescent="0.2">
      <c r="A1" s="19" t="s">
        <v>435</v>
      </c>
      <c r="B1" s="20"/>
    </row>
    <row r="2" spans="1:2" ht="40" customHeight="1" x14ac:dyDescent="0.2">
      <c r="A2" s="21" t="s">
        <v>436</v>
      </c>
      <c r="B2" s="20"/>
    </row>
    <row r="3" spans="1:2" ht="45" customHeight="1" x14ac:dyDescent="0.2">
      <c r="A3" s="22" t="s">
        <v>2</v>
      </c>
      <c r="B3" s="23" t="s">
        <v>437</v>
      </c>
    </row>
    <row r="4" spans="1:2" ht="60" customHeight="1" x14ac:dyDescent="0.2">
      <c r="A4" s="22" t="s">
        <v>4</v>
      </c>
      <c r="B4" s="23" t="s">
        <v>438</v>
      </c>
    </row>
    <row r="5" spans="1:2" ht="80" customHeight="1" x14ac:dyDescent="0.2">
      <c r="A5" s="22" t="s">
        <v>6</v>
      </c>
      <c r="B5" s="23" t="s">
        <v>439</v>
      </c>
    </row>
    <row r="6" spans="1:2" ht="70" customHeight="1" x14ac:dyDescent="0.2">
      <c r="A6" s="22" t="s">
        <v>8</v>
      </c>
      <c r="B6" s="23" t="s">
        <v>440</v>
      </c>
    </row>
    <row r="7" spans="1:2" ht="80" customHeight="1" x14ac:dyDescent="0.2">
      <c r="A7" s="22" t="s">
        <v>10</v>
      </c>
      <c r="B7" s="23" t="s">
        <v>441</v>
      </c>
    </row>
    <row r="8" spans="1:2" ht="90" customHeight="1" x14ac:dyDescent="0.2">
      <c r="A8" s="22" t="s">
        <v>12</v>
      </c>
      <c r="B8" s="23" t="s">
        <v>442</v>
      </c>
    </row>
    <row r="9" spans="1:2" ht="90" customHeight="1" x14ac:dyDescent="0.2">
      <c r="A9" s="22" t="s">
        <v>14</v>
      </c>
      <c r="B9" s="23" t="s">
        <v>443</v>
      </c>
    </row>
    <row r="10" spans="1:2" ht="110" customHeight="1" x14ac:dyDescent="0.2">
      <c r="A10" s="22" t="s">
        <v>16</v>
      </c>
      <c r="B10" s="23" t="s">
        <v>444</v>
      </c>
    </row>
    <row r="11" spans="1:2" ht="20" customHeight="1" x14ac:dyDescent="0.2">
      <c r="A11" s="24" t="s">
        <v>445</v>
      </c>
      <c r="B11" s="20"/>
    </row>
  </sheetData>
  <phoneticPr fontId="3"/>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14"/>
  <sheetViews>
    <sheetView workbookViewId="0"/>
  </sheetViews>
  <sheetFormatPr defaultRowHeight="13" x14ac:dyDescent="0.2"/>
  <cols>
    <col min="1" max="1" width="30" customWidth="1"/>
    <col min="2" max="2" width="80" customWidth="1"/>
  </cols>
  <sheetData>
    <row r="1" spans="1:2" ht="25" customHeight="1" x14ac:dyDescent="0.2">
      <c r="A1" s="25" t="s">
        <v>446</v>
      </c>
    </row>
    <row r="2" spans="1:2" ht="20" customHeight="1" x14ac:dyDescent="0.2">
      <c r="A2" s="26" t="s">
        <v>447</v>
      </c>
    </row>
    <row r="3" spans="1:2" ht="80" customHeight="1" x14ac:dyDescent="0.2">
      <c r="A3" s="26" t="s">
        <v>2</v>
      </c>
      <c r="B3" s="27" t="s">
        <v>448</v>
      </c>
    </row>
    <row r="4" spans="1:2" ht="80" customHeight="1" x14ac:dyDescent="0.2">
      <c r="A4" s="26" t="s">
        <v>4</v>
      </c>
      <c r="B4" s="27" t="s">
        <v>449</v>
      </c>
    </row>
    <row r="5" spans="1:2" ht="80" customHeight="1" x14ac:dyDescent="0.2">
      <c r="A5" s="26" t="s">
        <v>6</v>
      </c>
      <c r="B5" s="27" t="s">
        <v>450</v>
      </c>
    </row>
    <row r="6" spans="1:2" ht="80" customHeight="1" x14ac:dyDescent="0.2">
      <c r="A6" s="26" t="s">
        <v>8</v>
      </c>
      <c r="B6" s="27" t="s">
        <v>451</v>
      </c>
    </row>
    <row r="7" spans="1:2" ht="80" customHeight="1" x14ac:dyDescent="0.2">
      <c r="A7" s="26" t="s">
        <v>10</v>
      </c>
      <c r="B7" s="27" t="s">
        <v>452</v>
      </c>
    </row>
    <row r="8" spans="1:2" ht="80" customHeight="1" x14ac:dyDescent="0.2">
      <c r="A8" s="26" t="s">
        <v>12</v>
      </c>
      <c r="B8" s="27" t="s">
        <v>453</v>
      </c>
    </row>
    <row r="9" spans="1:2" ht="80" customHeight="1" x14ac:dyDescent="0.2">
      <c r="A9" s="26" t="s">
        <v>14</v>
      </c>
      <c r="B9" s="27" t="s">
        <v>454</v>
      </c>
    </row>
    <row r="10" spans="1:2" ht="80" customHeight="1" x14ac:dyDescent="0.2">
      <c r="A10" s="26" t="s">
        <v>16</v>
      </c>
      <c r="B10" s="27" t="s">
        <v>455</v>
      </c>
    </row>
    <row r="11" spans="1:2" ht="20" customHeight="1" x14ac:dyDescent="0.2">
      <c r="A11" s="28" t="s">
        <v>456</v>
      </c>
      <c r="B11" s="31">
        <v>46092</v>
      </c>
    </row>
    <row r="12" spans="1:2" ht="20" customHeight="1" x14ac:dyDescent="0.2">
      <c r="A12" s="28" t="s">
        <v>457</v>
      </c>
      <c r="B12" s="30" t="str">
        <f ca="1">IF(TODAY()-B11&gt;=60,"非アクティブ",IF(B13="なし","新規","アクティブ"))</f>
        <v>新規</v>
      </c>
    </row>
    <row r="13" spans="1:2" ht="20" customHeight="1" x14ac:dyDescent="0.2">
      <c r="A13" s="28" t="s">
        <v>458</v>
      </c>
      <c r="B13" s="29" t="s">
        <v>459</v>
      </c>
    </row>
    <row r="14" spans="1:2" ht="20" customHeight="1" x14ac:dyDescent="0.2">
      <c r="A14" s="26" t="s">
        <v>460</v>
      </c>
    </row>
  </sheetData>
  <phoneticPr fontId="3"/>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21</vt:i4>
      </vt:variant>
    </vt:vector>
  </HeadingPairs>
  <TitlesOfParts>
    <vt:vector size="21" baseType="lpstr">
      <vt:lpstr>候補者一覧</vt:lpstr>
      <vt:lpstr>GP_ゼネラル・パーチェス</vt:lpstr>
      <vt:lpstr>Assured_アシュアード</vt:lpstr>
      <vt:lpstr>Mynavi_マイナビ</vt:lpstr>
      <vt:lpstr>RS_リクルートスタッフィング</vt:lpstr>
      <vt:lpstr>XMile_エックスマイル</vt:lpstr>
      <vt:lpstr>BREXA_ブレクサテクノロジー</vt:lpstr>
      <vt:lpstr>Zeal_ジールコミュニケーションズ</vt:lpstr>
      <vt:lpstr>WillOf_ウィルオブコンストラクション</vt:lpstr>
      <vt:lpstr>Recruit_KS_ホットペッパービューティー</vt:lpstr>
      <vt:lpstr>SoftBank_ソフトバンク販売クルー</vt:lpstr>
      <vt:lpstr>Leverages_レバレジーズ</vt:lpstr>
      <vt:lpstr>Daito_大東建託</vt:lpstr>
      <vt:lpstr>Recruit_KS_SUUMOカウンター</vt:lpstr>
      <vt:lpstr>SMS_エス・エム・エス</vt:lpstr>
      <vt:lpstr>HokenMadoguchi_ほけんの窓口</vt:lpstr>
      <vt:lpstr>IDOM_ガリバー</vt:lpstr>
      <vt:lpstr>UZUZ_ウズウズ</vt:lpstr>
      <vt:lpstr>Baudroie_ボードルア</vt:lpstr>
      <vt:lpstr>WorkPort_ワークポート</vt:lpstr>
      <vt:lpstr>GENOVA_ジェノバ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冨永 光一</cp:lastModifiedBy>
  <dcterms:created xsi:type="dcterms:W3CDTF">2026-03-11T06:09:45Z</dcterms:created>
  <dcterms:modified xsi:type="dcterms:W3CDTF">2026-03-13T03:37:32Z</dcterms:modified>
</cp:coreProperties>
</file>