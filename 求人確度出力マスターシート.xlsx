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140" yWindow="1180" windowWidth="14400" windowHeight="7270" tabRatio="600" firstSheet="0" activeTab="3" autoFilterDateGrouping="1"/>
  </bookViews>
  <sheets>
    <sheet xmlns:r="http://schemas.openxmlformats.org/officeDocument/2006/relationships" name="候補者一覧" sheetId="1" state="visible" r:id="rId1"/>
    <sheet xmlns:r="http://schemas.openxmlformats.org/officeDocument/2006/relationships" name="GP_ゼネラル・パーチェス" sheetId="2" state="visible" r:id="rId2"/>
    <sheet xmlns:r="http://schemas.openxmlformats.org/officeDocument/2006/relationships" name="Assured_アシュアード" sheetId="3" state="visible" r:id="rId3"/>
    <sheet xmlns:r="http://schemas.openxmlformats.org/officeDocument/2006/relationships" name="Mynavi_マイナビ" sheetId="4" state="visible" r:id="rId4"/>
    <sheet xmlns:r="http://schemas.openxmlformats.org/officeDocument/2006/relationships" name="RS_リクルートスタッフィング" sheetId="5" state="visible" r:id="rId5"/>
    <sheet xmlns:r="http://schemas.openxmlformats.org/officeDocument/2006/relationships" name="XMile_エックスマイル" sheetId="6" state="visible" r:id="rId6"/>
    <sheet xmlns:r="http://schemas.openxmlformats.org/officeDocument/2006/relationships" name="BREXA_ブレクサテクノロジー" sheetId="7" state="visible" r:id="rId7"/>
    <sheet xmlns:r="http://schemas.openxmlformats.org/officeDocument/2006/relationships" name="Zeal_ジールコミュニケーションズ" sheetId="8" state="visible" r:id="rId8"/>
    <sheet xmlns:r="http://schemas.openxmlformats.org/officeDocument/2006/relationships" name="WillOf_ウィルオブコンストラクション" sheetId="9" state="visible" r:id="rId9"/>
    <sheet xmlns:r="http://schemas.openxmlformats.org/officeDocument/2006/relationships" name="Recruit_KS_ホットペッパービューティー" sheetId="10" state="visible" r:id="rId10"/>
    <sheet xmlns:r="http://schemas.openxmlformats.org/officeDocument/2006/relationships" name="SoftBank_ソフトバンク販売クルー" sheetId="11" state="visible" r:id="rId11"/>
    <sheet xmlns:r="http://schemas.openxmlformats.org/officeDocument/2006/relationships" name="Leverages_レバレジーズ" sheetId="12" state="visible" r:id="rId12"/>
    <sheet xmlns:r="http://schemas.openxmlformats.org/officeDocument/2006/relationships" name="Daito_大東建託" sheetId="13" state="visible" r:id="rId13"/>
    <sheet xmlns:r="http://schemas.openxmlformats.org/officeDocument/2006/relationships" name="Recruit_KS_SUUMOカウンター" sheetId="14" state="visible" r:id="rId14"/>
    <sheet xmlns:r="http://schemas.openxmlformats.org/officeDocument/2006/relationships" name="SMS_エス・エム・エス" sheetId="15" state="visible" r:id="rId15"/>
    <sheet xmlns:r="http://schemas.openxmlformats.org/officeDocument/2006/relationships" name="HokenMadoguchi_ほけんの窓口" sheetId="16" state="visible" r:id="rId16"/>
    <sheet xmlns:r="http://schemas.openxmlformats.org/officeDocument/2006/relationships" name="IDOM_ガリバー" sheetId="17" state="visible" r:id="rId17"/>
    <sheet xmlns:r="http://schemas.openxmlformats.org/officeDocument/2006/relationships" name="UZUZ_ウズウズ" sheetId="18" state="visible" r:id="rId18"/>
    <sheet xmlns:r="http://schemas.openxmlformats.org/officeDocument/2006/relationships" name="Baudroie_ボードルア" sheetId="19" state="visible" r:id="rId19"/>
    <sheet xmlns:r="http://schemas.openxmlformats.org/officeDocument/2006/relationships" name="WorkPort_ワークポート" sheetId="20" state="visible" r:id="rId20"/>
    <sheet xmlns:r="http://schemas.openxmlformats.org/officeDocument/2006/relationships" name="GENOVA_ジェノバ" sheetId="21" state="visible" r:id="rId21"/>
    <sheet xmlns:r="http://schemas.openxmlformats.org/officeDocument/2006/relationships" name="Cerebrix_セレブリックス" sheetId="22" state="visible" r:id="rId22"/>
    <sheet xmlns:r="http://schemas.openxmlformats.org/officeDocument/2006/relationships" name="Rakus_ラクス" sheetId="23" state="visible" r:id="rId23"/>
    <sheet xmlns:r="http://schemas.openxmlformats.org/officeDocument/2006/relationships" name="SmartHR_スマートHR" sheetId="24" state="visible" r:id="rId24"/>
    <sheet xmlns:r="http://schemas.openxmlformats.org/officeDocument/2006/relationships" name="MyVision_マイビジョン" sheetId="25" state="visible" r:id="rId25"/>
    <sheet xmlns:r="http://schemas.openxmlformats.org/officeDocument/2006/relationships" name="BuySell_店舗事業本部" sheetId="26" state="visible" r:id="rId26"/>
    <sheet xmlns:r="http://schemas.openxmlformats.org/officeDocument/2006/relationships" name="BuySell_フィールドセールス" sheetId="27" state="visible" r:id="rId27"/>
    <sheet xmlns:r="http://schemas.openxmlformats.org/officeDocument/2006/relationships" name="Ishin_イシン" sheetId="28" state="visible" r:id="rId28"/>
    <sheet xmlns:r="http://schemas.openxmlformats.org/officeDocument/2006/relationships" name="Yamashita_ヤマシタ" sheetId="29" state="visible" r:id="rId29"/>
    <sheet xmlns:r="http://schemas.openxmlformats.org/officeDocument/2006/relationships" name="Cerebrix_チャネル戦略" sheetId="30" state="visible" r:id="rId30"/>
    <sheet xmlns:r="http://schemas.openxmlformats.org/officeDocument/2006/relationships" name="Voice_ヴォイスキャリア" sheetId="31" state="visible" r:id="rId31"/>
    <sheet xmlns:r="http://schemas.openxmlformats.org/officeDocument/2006/relationships" name="Archibase_アーキベース" sheetId="32" state="visible" r:id="rId32"/>
    <sheet xmlns:r="http://schemas.openxmlformats.org/officeDocument/2006/relationships" name="Geekly_ギークリー" sheetId="33" state="visible" r:id="rId33"/>
    <sheet xmlns:r="http://schemas.openxmlformats.org/officeDocument/2006/relationships" name="Plex_プレックス" sheetId="34" state="visible" r:id="rId34"/>
    <sheet xmlns:r="http://schemas.openxmlformats.org/officeDocument/2006/relationships" name="Hupro_ヒュープロ" sheetId="35" state="visible" r:id="rId35"/>
    <sheet xmlns:r="http://schemas.openxmlformats.org/officeDocument/2006/relationships" name="HRCAREER_エイチアールキャリア" sheetId="36" state="visible" r:id="rId36"/>
    <sheet xmlns:r="http://schemas.openxmlformats.org/officeDocument/2006/relationships" name="BridgeOne_ブリッジワン" sheetId="37" state="visible" r:id="rId37"/>
    <sheet xmlns:r="http://schemas.openxmlformats.org/officeDocument/2006/relationships" name="Freee_フリー" sheetId="38" state="visible" r:id="rId38"/>
    <sheet xmlns:r="http://schemas.openxmlformats.org/officeDocument/2006/relationships" name="MoneyForward_マネーフォワード" sheetId="39" state="visible" r:id="rId39"/>
    <sheet xmlns:r="http://schemas.openxmlformats.org/officeDocument/2006/relationships" name="FCE_エフシーイー" sheetId="40" state="visible" r:id="rId40"/>
    <sheet xmlns:r="http://schemas.openxmlformats.org/officeDocument/2006/relationships" name="TOKIUM_トキウム" sheetId="41" state="visible" r:id="rId41"/>
    <sheet xmlns:r="http://schemas.openxmlformats.org/officeDocument/2006/relationships" name="DataX_データX" sheetId="42" state="visible" r:id="rId42"/>
    <sheet xmlns:r="http://schemas.openxmlformats.org/officeDocument/2006/relationships" name="SmartCamp_スマートキャンプ" sheetId="43" state="visible" r:id="rId43"/>
    <sheet xmlns:r="http://schemas.openxmlformats.org/officeDocument/2006/relationships" name="HRCloud_エイチアールクラウド" sheetId="44" state="visible" r:id="rId44"/>
    <sheet xmlns:r="http://schemas.openxmlformats.org/officeDocument/2006/relationships" name="Persol_パーソルキャリア" sheetId="45" state="visible" r:id="rId45"/>
    <sheet xmlns:r="http://schemas.openxmlformats.org/officeDocument/2006/relationships" name="Timee_タイミー" sheetId="46" state="visible" r:id="rId46"/>
    <sheet xmlns:r="http://schemas.openxmlformats.org/officeDocument/2006/relationships" name="Assign_アサイン" sheetId="47" state="visible" r:id="rId47"/>
    <sheet xmlns:r="http://schemas.openxmlformats.org/officeDocument/2006/relationships" name="LowCode_ローコード" sheetId="48" state="visible" r:id="rId48"/>
    <sheet xmlns:r="http://schemas.openxmlformats.org/officeDocument/2006/relationships" name="Hayfield_ヘイフィールド" sheetId="49" state="visible" r:id="rId49"/>
    <sheet xmlns:r="http://schemas.openxmlformats.org/officeDocument/2006/relationships" name="Legaseed_レガシード" sheetId="50" state="visible" r:id="rId50"/>
    <sheet xmlns:r="http://schemas.openxmlformats.org/officeDocument/2006/relationships" name="Nextbeat_ネクストビート" sheetId="51" state="visible" r:id="rId51"/>
    <sheet xmlns:r="http://schemas.openxmlformats.org/officeDocument/2006/relationships" name="Daido_大同生命保険" sheetId="52" state="visible" r:id="rId52"/>
    <sheet xmlns:r="http://schemas.openxmlformats.org/officeDocument/2006/relationships" name="Ikyu_一休" sheetId="53" state="visible" r:id="rId53"/>
    <sheet xmlns:r="http://schemas.openxmlformats.org/officeDocument/2006/relationships" name="OpenHouse_オープンハウス" sheetId="54" state="visible" r:id="rId54"/>
    <sheet xmlns:r="http://schemas.openxmlformats.org/officeDocument/2006/relationships" name="PropertyAgent_プロパティエージェント" sheetId="55" state="visible" r:id="rId55"/>
    <sheet xmlns:r="http://schemas.openxmlformats.org/officeDocument/2006/relationships" name="Hanamaru_はなまる" sheetId="56" state="visible" r:id="rId56"/>
    <sheet xmlns:r="http://schemas.openxmlformats.org/officeDocument/2006/relationships" name="IPPO_イッポ" sheetId="57" state="visible" r:id="rId57"/>
    <sheet xmlns:r="http://schemas.openxmlformats.org/officeDocument/2006/relationships" name="Yumeshin_夢真" sheetId="58" state="visible" r:id="rId58"/>
  </sheets>
  <definedNames/>
  <calcPr calcId="191029" fullCalcOnLoad="1"/>
</workbook>
</file>

<file path=xl/styles.xml><?xml version="1.0" encoding="utf-8"?>
<styleSheet xmlns="http://schemas.openxmlformats.org/spreadsheetml/2006/main">
  <numFmts count="1">
    <numFmt numFmtId="164" formatCode="yyyy/mm/dd"/>
  </numFmts>
  <fonts count="19">
    <font>
      <name val="ＭＳ Ｐゴシック"/>
      <family val="2"/>
      <color theme="1"/>
      <sz val="11"/>
      <scheme val="minor"/>
    </font>
    <font>
      <name val="Arial"/>
      <family val="2"/>
      <b val="1"/>
      <color rgb="FFFFFFFF"/>
      <sz val="10"/>
    </font>
    <font>
      <name val="Arial"/>
      <family val="2"/>
      <sz val="9"/>
    </font>
    <font>
      <name val="ＭＳ Ｐゴシック"/>
      <charset val="128"/>
      <family val="3"/>
      <sz val="6"/>
      <scheme val="minor"/>
    </font>
    <font>
      <name val="Arial"/>
      <family val="2"/>
      <b val="1"/>
      <color rgb="FFFFFFFF"/>
      <sz val="14"/>
    </font>
    <font>
      <name val="Arial"/>
      <family val="2"/>
      <i val="1"/>
      <color rgb="FF1F4E79"/>
      <sz val="10"/>
    </font>
    <font>
      <name val="Arial"/>
      <family val="2"/>
      <b val="1"/>
      <color rgb="FF1F4E79"/>
      <sz val="10"/>
    </font>
    <font>
      <name val="Arial"/>
      <family val="2"/>
      <sz val="10"/>
    </font>
    <font>
      <name val="Arial"/>
      <family val="2"/>
      <i val="1"/>
      <color rgb="FF888888"/>
      <sz val="8"/>
    </font>
    <font>
      <name val="ＭＳ ゴシック"/>
      <charset val="128"/>
      <family val="3"/>
      <sz val="9"/>
    </font>
    <font>
      <name val="Arial"/>
      <charset val="128"/>
      <family val="3"/>
      <sz val="9"/>
    </font>
    <font>
      <name val="ＭＳ ゴシック"/>
      <charset val="128"/>
      <family val="3"/>
      <sz val="10"/>
    </font>
    <font>
      <name val="Arial"/>
      <b val="1"/>
      <color rgb="FFFFFFFF"/>
      <sz val="14"/>
    </font>
    <font>
      <name val="Arial"/>
      <color rgb="FF000000"/>
      <sz val="10"/>
    </font>
    <font>
      <name val="Arial"/>
      <b val="1"/>
      <color rgb="FF000000"/>
      <sz val="10"/>
    </font>
    <font>
      <name val="Arial"/>
      <b val="1"/>
      <sz val="11"/>
    </font>
    <font>
      <name val="Arial"/>
      <sz val="11"/>
    </font>
    <font>
      <name val="Arial"/>
      <b val="1"/>
      <color rgb="FF00B050"/>
      <sz val="11"/>
    </font>
    <font>
      <name val="Arial"/>
      <b val="1"/>
      <color rgb="FFFFFFFF"/>
      <sz val="12"/>
    </font>
  </fonts>
  <fills count="13">
    <fill>
      <patternFill/>
    </fill>
    <fill>
      <patternFill patternType="gray125"/>
    </fill>
    <fill>
      <patternFill patternType="solid">
        <fgColor rgb="FF1F4E79"/>
        <bgColor rgb="FF1F4E79"/>
      </patternFill>
    </fill>
    <fill>
      <patternFill patternType="solid">
        <fgColor rgb="FFEBF3FB"/>
        <bgColor rgb="FFEBF3FB"/>
      </patternFill>
    </fill>
    <fill>
      <patternFill patternType="solid">
        <fgColor rgb="FFFFFFFF"/>
        <bgColor rgb="FFFFFFFF"/>
      </patternFill>
    </fill>
    <fill>
      <patternFill patternType="solid">
        <fgColor rgb="FF1F4E79"/>
      </patternFill>
    </fill>
    <fill>
      <patternFill patternType="solid">
        <fgColor rgb="FFD6E4F0"/>
      </patternFill>
    </fill>
    <fill>
      <patternFill patternType="solid">
        <fgColor rgb="FFFFFFFF"/>
      </patternFill>
    </fill>
    <fill>
      <patternFill patternType="solid">
        <fgColor rgb="FFFFF2CC"/>
      </patternFill>
    </fill>
    <fill>
      <patternFill patternType="solid">
        <fgColor rgb="FFEAF4E8"/>
      </patternFill>
    </fill>
    <fill>
      <patternFill patternType="solid">
        <fgColor rgb="FFEEEEEE"/>
      </patternFill>
    </fill>
    <fill>
      <patternFill patternType="solid">
        <fgColor rgb="FFFFFF00"/>
        <bgColor rgb="FFFFFF00"/>
      </patternFill>
    </fill>
    <fill>
      <patternFill patternType="solid">
        <fgColor rgb="FF2E4057"/>
        <bgColor rgb="FF2E4057"/>
      </patternFill>
    </fill>
  </fills>
  <borders count="6">
    <border>
      <left/>
      <right/>
      <top/>
      <bottom/>
      <diagonal/>
    </border>
    <border>
      <left style="thin">
        <color auto="1"/>
      </left>
      <right style="thin">
        <color auto="1"/>
      </right>
      <top style="thin">
        <color auto="1"/>
      </top>
      <bottom style="thin">
        <color auto="1"/>
      </bottom>
      <diagonal/>
    </border>
    <border>
      <left style="thin">
        <color rgb="FFB0C4DE"/>
      </left>
      <right style="thin">
        <color rgb="FFB0C4DE"/>
      </right>
      <top style="thin">
        <color rgb="FFB0C4DE"/>
      </top>
      <bottom style="thin">
        <color rgb="FFB0C4DE"/>
      </bottom>
      <diagonal/>
    </border>
    <border>
      <left/>
      <right style="thin">
        <color rgb="FFB0C4DE"/>
      </right>
      <top style="thin">
        <color rgb="FFB0C4DE"/>
      </top>
      <bottom style="thin">
        <color rgb="FFB0C4DE"/>
      </bottom>
      <diagonal/>
    </border>
    <border>
      <left/>
      <right/>
      <top style="thin">
        <color rgb="FFB0C4DE"/>
      </top>
      <bottom/>
      <diagonal/>
    </border>
    <border>
      <left/>
      <right style="thin">
        <color rgb="FFB0C4DE"/>
      </right>
      <top style="thin">
        <color rgb="FFB0C4DE"/>
      </top>
      <bottom/>
      <diagonal/>
    </border>
  </borders>
  <cellStyleXfs count="1">
    <xf numFmtId="0" fontId="0" fillId="0" borderId="0"/>
  </cellStyleXfs>
  <cellXfs count="3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xf>
    <xf numFmtId="0" fontId="2" fillId="3" borderId="1" applyAlignment="1" pivotButton="0" quotePrefix="0" xfId="0">
      <alignment vertical="top" wrapText="1"/>
    </xf>
    <xf numFmtId="0" fontId="2" fillId="4" borderId="1" applyAlignment="1" pivotButton="0" quotePrefix="0" xfId="0">
      <alignment horizontal="center" vertical="top"/>
    </xf>
    <xf numFmtId="0" fontId="2" fillId="4" borderId="1" applyAlignment="1" pivotButton="0" quotePrefix="0" xfId="0">
      <alignment vertical="top" wrapText="1"/>
    </xf>
    <xf numFmtId="0" fontId="2" fillId="3" borderId="1" applyAlignment="1" pivotButton="0" quotePrefix="0" xfId="0">
      <alignment vertical="top"/>
    </xf>
    <xf numFmtId="0" fontId="0" fillId="0" borderId="1" applyAlignment="1" pivotButton="0" quotePrefix="0" xfId="0">
      <alignment vertical="top" wrapText="1"/>
    </xf>
    <xf numFmtId="0" fontId="4" fillId="5" borderId="2" applyAlignment="1" pivotButton="0" quotePrefix="0" xfId="0">
      <alignment horizontal="center" vertical="center" wrapText="1"/>
    </xf>
    <xf numFmtId="0" fontId="5" fillId="6" borderId="2" applyAlignment="1" pivotButton="0" quotePrefix="0" xfId="0">
      <alignment horizontal="center" vertical="center"/>
    </xf>
    <xf numFmtId="0" fontId="6" fillId="6" borderId="2" applyAlignment="1" pivotButton="0" quotePrefix="0" xfId="0">
      <alignment horizontal="left" vertical="top" wrapText="1"/>
    </xf>
    <xf numFmtId="0" fontId="7" fillId="7" borderId="2" applyAlignment="1" pivotButton="0" quotePrefix="0" xfId="0">
      <alignment horizontal="left" vertical="top" wrapText="1"/>
    </xf>
    <xf numFmtId="0" fontId="7" fillId="8" borderId="2" applyAlignment="1" pivotButton="0" quotePrefix="0" xfId="0">
      <alignment horizontal="left" vertical="top" wrapText="1"/>
    </xf>
    <xf numFmtId="0" fontId="7" fillId="9" borderId="2" applyAlignment="1" pivotButton="0" quotePrefix="0" xfId="0">
      <alignment horizontal="left" vertical="top" wrapText="1"/>
    </xf>
    <xf numFmtId="0" fontId="8" fillId="0" borderId="0" applyAlignment="1" pivotButton="0" quotePrefix="0" xfId="0">
      <alignment horizontal="right"/>
    </xf>
    <xf numFmtId="0" fontId="0" fillId="0" borderId="3" pivotButton="0" quotePrefix="0" xfId="0"/>
    <xf numFmtId="0" fontId="9" fillId="3" borderId="1" applyAlignment="1" pivotButton="0" quotePrefix="0" xfId="0">
      <alignment vertical="top"/>
    </xf>
    <xf numFmtId="0" fontId="10" fillId="3" borderId="1" applyAlignment="1" pivotButton="0" quotePrefix="0" xfId="0">
      <alignment vertical="top" wrapText="1"/>
    </xf>
    <xf numFmtId="0" fontId="11" fillId="7" borderId="2" applyAlignment="1" pivotButton="0" quotePrefix="0" xfId="0">
      <alignment horizontal="left" vertical="top" wrapText="1"/>
    </xf>
    <xf numFmtId="0" fontId="12" fillId="5" borderId="0" applyAlignment="1" pivotButton="0" quotePrefix="0" xfId="0">
      <alignment vertical="center" wrapText="1"/>
    </xf>
    <xf numFmtId="0" fontId="13" fillId="0" borderId="0" applyAlignment="1" pivotButton="0" quotePrefix="0" xfId="0">
      <alignment vertical="top" wrapText="1"/>
    </xf>
    <xf numFmtId="0" fontId="13" fillId="6" borderId="0" applyAlignment="1" pivotButton="0" quotePrefix="0" xfId="0">
      <alignment vertical="top" wrapText="1"/>
    </xf>
    <xf numFmtId="0" fontId="14" fillId="6" borderId="0" applyAlignment="1" pivotButton="0" quotePrefix="0" xfId="0">
      <alignment vertical="top" wrapText="1"/>
    </xf>
    <xf numFmtId="0" fontId="13" fillId="7" borderId="0" applyAlignment="1" pivotButton="0" quotePrefix="0" xfId="0">
      <alignment vertical="top" wrapText="1"/>
    </xf>
    <xf numFmtId="0" fontId="13" fillId="10" borderId="0" applyAlignment="1" pivotButton="0" quotePrefix="0" xfId="0">
      <alignment vertical="top" wrapText="1"/>
    </xf>
    <xf numFmtId="0" fontId="18" fillId="12" borderId="0" applyAlignment="1" pivotButton="0" quotePrefix="0" xfId="0">
      <alignment vertical="top" wrapText="1"/>
    </xf>
    <xf numFmtId="0" fontId="15" fillId="0" borderId="0" applyAlignment="1" pivotButton="0" quotePrefix="0" xfId="0">
      <alignment vertical="top" wrapText="1"/>
    </xf>
    <xf numFmtId="0" fontId="16" fillId="0" borderId="0" applyAlignment="1" pivotButton="0" quotePrefix="0" xfId="0">
      <alignment vertical="top" wrapText="1"/>
    </xf>
    <xf numFmtId="0" fontId="15" fillId="11" borderId="0" applyAlignment="1" pivotButton="0" quotePrefix="0" xfId="0">
      <alignment vertical="top" wrapText="1"/>
    </xf>
    <xf numFmtId="0" fontId="16" fillId="11" borderId="0" applyAlignment="1" pivotButton="0" quotePrefix="0" xfId="0">
      <alignment vertical="top" wrapText="1"/>
    </xf>
    <xf numFmtId="0" fontId="17" fillId="11" borderId="0" applyAlignment="1" pivotButton="0" quotePrefix="0" xfId="0">
      <alignment vertical="top" wrapText="1"/>
    </xf>
    <xf numFmtId="164" fontId="16" fillId="11" borderId="0" applyAlignment="1" pivotButton="0" quotePrefix="0" xfId="0">
      <alignment vertical="top" wrapText="1"/>
    </xf>
    <xf numFmtId="0" fontId="8" fillId="0" borderId="0" applyAlignment="1" pivotButton="0" quotePrefix="0" xfId="0">
      <alignment horizontal="right"/>
    </xf>
    <xf numFmtId="0" fontId="0" fillId="0" borderId="0" pivotButton="0" quotePrefix="0" xfId="0"/>
    <xf numFmtId="0" fontId="5" fillId="6" borderId="2" applyAlignment="1" pivotButton="0" quotePrefix="0" xfId="0">
      <alignment horizontal="center" vertical="center"/>
    </xf>
    <xf numFmtId="0" fontId="0" fillId="0" borderId="3" pivotButton="0" quotePrefix="0" xfId="0"/>
    <xf numFmtId="0" fontId="4" fillId="5" borderId="2" applyAlignment="1" pivotButton="0" quotePrefix="0" xfId="0">
      <alignment horizontal="center" vertical="center" wrapText="1"/>
    </xf>
    <xf numFmtId="164" fontId="16" fillId="11" borderId="0" applyAlignment="1" pivotButton="0" quotePrefix="0" xfId="0">
      <alignment vertical="top" wrapText="1"/>
    </xf>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styles" Target="styles.xml" Id="rId59"/><Relationship Type="http://schemas.openxmlformats.org/officeDocument/2006/relationships/theme" Target="theme/theme1.xml" Id="rId6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
  <sheetViews>
    <sheetView topLeftCell="G1" workbookViewId="0">
      <pane ySplit="1" topLeftCell="A2" activePane="bottomLeft" state="frozen"/>
      <selection pane="bottomLeft" activeCell="X23" sqref="X23"/>
    </sheetView>
  </sheetViews>
  <sheetFormatPr baseColWidth="8" defaultRowHeight="13"/>
  <cols>
    <col width="20" customWidth="1" style="33" min="1" max="9"/>
    <col width="60" customWidth="1" style="33" min="10" max="10"/>
  </cols>
  <sheetData>
    <row r="1" ht="30" customHeight="1" s="33">
      <c r="A1" s="1" t="inlineStr">
        <is>
          <t>候補者名</t>
        </is>
      </c>
      <c r="B1" s="1" t="inlineStr">
        <is>
          <t>決定先企業名</t>
        </is>
      </c>
      <c r="C1" s="1" t="inlineStr">
        <is>
          <t>経験職種</t>
        </is>
      </c>
      <c r="D1" s="1" t="inlineStr">
        <is>
          <t>主要スキル</t>
        </is>
      </c>
      <c r="E1" s="1" t="inlineStr">
        <is>
          <t>年齢</t>
        </is>
      </c>
      <c r="F1" s="1" t="inlineStr">
        <is>
          <t>転職回数</t>
        </is>
      </c>
      <c r="G1" s="1" t="inlineStr">
        <is>
          <t>直近業種</t>
        </is>
      </c>
      <c r="H1" s="1" t="inlineStr">
        <is>
          <t>合計経験年数</t>
        </is>
      </c>
      <c r="I1" s="1" t="inlineStr">
        <is>
          <t>職務要約・強み</t>
        </is>
      </c>
      <c r="J1" s="1" t="inlineStr">
        <is>
          <t>内定先評価コメント</t>
        </is>
      </c>
    </row>
    <row r="2" ht="70" customHeight="1" s="33">
      <c r="A2" s="6" t="inlineStr">
        <is>
          <t>日野 達貴</t>
        </is>
      </c>
      <c r="B2" s="6" t="inlineStr">
        <is>
          <t>ゼネラル・パーチェス株式会社</t>
        </is>
      </c>
      <c r="C2" s="6" t="inlineStr">
        <is>
          <t>行政事務（滞納整理）</t>
        </is>
      </c>
      <c r="D2" s="6" t="inlineStr">
        <is>
          <t>ヒアリング力・課題整理力、伴走型支援、OJT育成、Word/Excel/PowerPoint</t>
        </is>
      </c>
      <c r="E2" s="6" t="n">
        <v>28</v>
      </c>
      <c r="F2" s="6" t="n">
        <v>0</v>
      </c>
      <c r="G2" s="6" t="inlineStr">
        <is>
          <t>官公庁・行政</t>
        </is>
      </c>
      <c r="H2" s="6" t="inlineStr">
        <is>
          <t>約6年</t>
        </is>
      </c>
      <c r="I2" s="6" t="inlineStr">
        <is>
          <t>松山大学経済学部卒業後、新宿区役所に新卒入区。税務課にて滞納整理業務を6年間担当。年間1,000件の滞納案件を担当し、整理率70%（課内平均以上）を達成。財産差押（年間約200件）や訪問調査も実施。入庁4年目には後輩職員のOJTを1年間担当。不安・抵抗感の強い相手に寄り添い、納得感ある合意形成を強みとする。</t>
        </is>
      </c>
    </row>
    <row r="3" ht="70" customHeight="1" s="33">
      <c r="A3" s="6" t="inlineStr">
        <is>
          <t>中村 実</t>
        </is>
      </c>
      <c r="B3" s="6" t="inlineStr">
        <is>
          <t>株式会社アシュアード</t>
        </is>
      </c>
      <c r="C3" s="6" t="inlineStr">
        <is>
          <t>住宅オプション営業・現場管理</t>
        </is>
      </c>
      <c r="D3" s="6" t="inlineStr">
        <is>
          <t>提案力・空間コーディネート、現場管理・職人対応、見積作成・発注管理、Word/Excel/PowerPoint</t>
        </is>
      </c>
      <c r="E3" s="6" t="n">
        <v>24</v>
      </c>
      <c r="F3" s="6" t="n">
        <v>0</v>
      </c>
      <c r="G3" s="6" t="inlineStr">
        <is>
          <t>住宅・インテリア</t>
        </is>
      </c>
      <c r="H3" s="6" t="inlineStr">
        <is>
          <t>約2年</t>
        </is>
      </c>
      <c r="I3" s="6" t="inlineStr">
        <is>
          <t>青山学院大学国際政治経済学部卒業後、ME style株式会社に入社。住宅オプション（家具・カーテン・照明・太陽光等）の提案営業を担当。直近半年間で同期9名中2位の利益率を維持。上半期にはロールスクリーン売上で全社37名中2位を獲得。現場に積極的に足を運び平均の約3倍の成約率を実現。失注率を約10%改善。</t>
        </is>
      </c>
    </row>
    <row r="4" ht="70" customHeight="1" s="33">
      <c r="A4" s="6" t="inlineStr">
        <is>
          <t>宇都宮 綾乃</t>
        </is>
      </c>
      <c r="B4" s="6" t="inlineStr">
        <is>
          <t>株式会社マイナビ</t>
        </is>
      </c>
      <c r="C4" s="6" t="inlineStr">
        <is>
          <t>販売・フロアマネージャー</t>
        </is>
      </c>
      <c r="D4" s="6" t="inlineStr">
        <is>
          <t>売場・在庫管理、数値分析・改善提案、チームマネジメント・育成、インテリアコーディネーター資格、MOS Excel</t>
        </is>
      </c>
      <c r="E4" s="6" t="n">
        <v>25</v>
      </c>
      <c r="F4" s="6" t="n">
        <v>0</v>
      </c>
      <c r="G4" s="6" t="inlineStr">
        <is>
          <t>小売（家具・インテリア）</t>
        </is>
      </c>
      <c r="H4" s="6" t="inlineStr">
        <is>
          <t>約3年</t>
        </is>
      </c>
      <c r="I4" s="6" t="inlineStr">
        <is>
          <t>明治学院大学経済学部卒業後、株式会社ニトリに新卒入社。1年目からホームファッション・カーテン担当、3年目にフロアマネージャーへ早期昇格。1店舗目ではエリア内10店舗中唯一カーテン予算達成。客単価約1.25倍向上を実現。パート含む10名以上を巻き込み数値改善を主導。インテリアコーディネーター・福祉住環境コーディネーター2級保有。</t>
        </is>
      </c>
    </row>
    <row r="5" ht="70" customHeight="1" s="33">
      <c r="A5" s="6" t="inlineStr">
        <is>
          <t>杉山 直輝</t>
        </is>
      </c>
      <c r="B5" s="6" t="inlineStr">
        <is>
          <t>株式会社リクルートスタッフィング</t>
        </is>
      </c>
      <c r="C5" s="6" t="inlineStr">
        <is>
          <t>ITインフラ運用保守（ネットワーク・AWS）</t>
        </is>
      </c>
      <c r="D5" s="6" t="inlineStr">
        <is>
          <t>AWS(EC2/RDS/S3)運用保守、ネットワーク監視・障害対応（Cisco/FortiGate/Palo Alto）、マニュアル作成、ITパスポート</t>
        </is>
      </c>
      <c r="E5" s="6" t="n">
        <v>25</v>
      </c>
      <c r="F5" s="6" t="n">
        <v>1</v>
      </c>
      <c r="G5" s="6" t="inlineStr">
        <is>
          <t>IT・通信（技術者派遣）</t>
        </is>
      </c>
      <c r="H5" s="6" t="inlineStr">
        <is>
          <t>約3年</t>
        </is>
      </c>
      <c r="I5" s="6" t="inlineStr">
        <is>
          <t>中央調理製菓専門学校卒業後、日映株式会社（飲食）に1年勤務後、株式会社オープンアップITエンジニアへ転職。社内ネットワーク研修を経て、コールセンター（全国50拠点）のネットワーク運用保守、浜松市共通基盤システム（AWS）の運用保守に従事。障害対応・マニュアル整備・問い合わせ対応を担当。日商簿記3級・調理師免許・ITパスポート保有。</t>
        </is>
      </c>
      <c r="J5" s="7" t="inlineStr">
        <is>
          <t>バレー部を創設しようとしたところや、未経験からのIT職にも資格取得しながら挑戦しようとする実行力やポジティブさが好印象。裏表のないコミュニケーションからくる信頼感がカスタマー対応も安心してお任せできると感じた。転職時にキャリアコーチングを受講したり、未経験ITに就くための見立て、達成するための確動性など、弊社にてご活躍いただけるイメージが湧いた。</t>
        </is>
      </c>
    </row>
    <row r="6" ht="70" customHeight="1" s="33">
      <c r="A6" s="6" t="inlineStr">
        <is>
          <t>佐藤 新</t>
        </is>
      </c>
      <c r="B6" s="16" t="inlineStr">
        <is>
          <t>株式会社ボードルア</t>
        </is>
      </c>
      <c r="C6" s="6" t="inlineStr">
        <is>
          <t>自動車販売・保険営業（カーライフアドバイザー）</t>
        </is>
      </c>
      <c r="D6" s="6" t="inlineStr">
        <is>
          <t>自動車販売・提案営業、損害保険営業、顧客ヒアリング・課題提案、簿記2級・ITパスポート・自動車査定士</t>
        </is>
      </c>
      <c r="E6" s="6" t="n">
        <v>24</v>
      </c>
      <c r="F6" s="6" t="n">
        <v>0</v>
      </c>
      <c r="G6" s="6" t="inlineStr">
        <is>
          <t>自動車販売</t>
        </is>
      </c>
      <c r="H6" s="6" t="inlineStr">
        <is>
          <t>約2年</t>
        </is>
      </c>
      <c r="I6" s="6" t="inlineStr">
        <is>
          <t>國學院大學経済学部卒業後、千葉スバル株式会社に入社。カーライフアドバイザーとして自動車販売・損害保険契約獲得・JAF加入促進・入庫予約獲得を担当。「お客様に損をさせない」をモットーに最適提案を実施し顧客満足度向上に貢献。上司へ積極的に相談し素直に実行する姿勢で成長。損害保険募集人・中古車査定士・簿記2級保有。</t>
        </is>
      </c>
    </row>
    <row r="7" ht="70" customHeight="1" s="33">
      <c r="A7" s="2" t="inlineStr">
        <is>
          <t>大瀬 哲也</t>
        </is>
      </c>
      <c r="B7" s="3" t="inlineStr">
        <is>
          <t>XMile株式会社</t>
        </is>
      </c>
      <c r="C7" s="3" t="inlineStr">
        <is>
          <t>コールセンター管理職（マネージャー・SV・オペレーター）</t>
        </is>
      </c>
      <c r="D7" s="3" t="inlineStr">
        <is>
          <t>KPI管理、予算管理、チームマネジメント、クライアント折衝、AI自動受注構築、Excel/Word/PowerPoint</t>
        </is>
      </c>
      <c r="E7" s="2" t="n">
        <v>36</v>
      </c>
      <c r="F7" s="2" t="n">
        <v>0</v>
      </c>
      <c r="G7" s="3" t="inlineStr">
        <is>
          <t>BPO・コールセンター</t>
        </is>
      </c>
      <c r="H7" s="3" t="inlineStr">
        <is>
          <t>約13年</t>
        </is>
      </c>
      <c r="I7" s="3" t="inlineStr">
        <is>
          <t>2012年入社のカスタマーリレーションテレマーケティング社に一社専念。オペレーターからマネージャーへ昇格し、60名規模のチームを統括。ベンダー間11社中1位のベストセンター賞受賞。新規プロジェクト立ち上げ・事業規模5倍拡大の実績あり。</t>
        </is>
      </c>
    </row>
    <row r="8" ht="70" customHeight="1" s="33">
      <c r="A8" s="4" t="inlineStr">
        <is>
          <t>芳田 利織</t>
        </is>
      </c>
      <c r="B8" s="5" t="inlineStr">
        <is>
          <t>株式会社BREXA Technology（旧株式会社アウトソーシングテクノロジー）</t>
        </is>
      </c>
      <c r="C8" s="5" t="inlineStr">
        <is>
          <t>航空機整備員、製造・検査スタッフ</t>
        </is>
      </c>
      <c r="D8" s="5" t="inlineStr">
        <is>
          <t>航空機点検・整備、品質管理、手順書遵守、チーム連携、報連相</t>
        </is>
      </c>
      <c r="E8" s="4" t="n">
        <v>30</v>
      </c>
      <c r="F8" s="4" t="n">
        <v>3</v>
      </c>
      <c r="G8" s="5" t="inlineStr">
        <is>
          <t>自動車製造</t>
        </is>
      </c>
      <c r="H8" s="5" t="inlineStr">
        <is>
          <t>約11年（自衛隊7.5年含む）</t>
        </is>
      </c>
      <c r="I8" s="5" t="inlineStr">
        <is>
          <t>海上自衛隊で約7年半、航空機整備・南極観測支援に従事。除隊後は日立建機、いすゞ関連、日産自動車で製造・検査業務を経験。安全性・正確性・手順遵守を強みとする現場型人材。</t>
        </is>
      </c>
    </row>
    <row r="9" ht="70" customHeight="1" s="33">
      <c r="A9" s="2" t="inlineStr">
        <is>
          <t>小島 奎晟</t>
        </is>
      </c>
      <c r="B9" s="3" t="inlineStr">
        <is>
          <t>株式会社ジールコミュニケーションズ</t>
        </is>
      </c>
      <c r="C9" s="3" t="inlineStr">
        <is>
          <t>小売販売スタッフ、鮮魚ディストリビューター</t>
        </is>
      </c>
      <c r="D9" s="3" t="inlineStr">
        <is>
          <t>売場管理・改善、数値分析、PDCA、マニュアル化、業務効率化、Excel/Word/PowerPoint、日商簿記3級</t>
        </is>
      </c>
      <c r="E9" s="2" t="n">
        <v>24</v>
      </c>
      <c r="F9" s="2" t="n">
        <v>0</v>
      </c>
      <c r="G9" s="3" t="inlineStr">
        <is>
          <t>小売・食品</t>
        </is>
      </c>
      <c r="H9" s="3" t="inlineStr">
        <is>
          <t>約2年</t>
        </is>
      </c>
      <c r="I9" s="3" t="inlineStr">
        <is>
          <t>トライアルカンパニーに新卒入社。鮮魚部門で社内全店売場コンテスト2位（340店舗中）を獲得。商品部異動後は担当店舗の黒字化を達成し、管轄店舗の売上昨対比110%を4ヶ月連続達成。現場と本部を横断するコミュニケーション力が強み。</t>
        </is>
      </c>
    </row>
    <row r="10" ht="70" customHeight="1" s="33">
      <c r="A10" s="4" t="inlineStr">
        <is>
          <t>亀井 颯太</t>
        </is>
      </c>
      <c r="B10" s="5" t="inlineStr">
        <is>
          <t>ウォーターウィッシュ</t>
        </is>
      </c>
      <c r="C10" s="5" t="inlineStr">
        <is>
          <t>ホテルルームサービス、新入社員教育担当</t>
        </is>
      </c>
      <c r="D10" s="5" t="inlineStr">
        <is>
          <t>英語接客（対面・電話）、チーム指導、備品管理、清掃管理、Excel/Word基礎</t>
        </is>
      </c>
      <c r="E10" s="4" t="n">
        <v>22</v>
      </c>
      <c r="F10" s="4" t="n">
        <v>1</v>
      </c>
      <c r="G10" s="5" t="inlineStr">
        <is>
          <t>ホテル・旅館</t>
        </is>
      </c>
      <c r="H10" s="5" t="inlineStr">
        <is>
          <t>約2.5年</t>
        </is>
      </c>
      <c r="I10" s="5" t="inlineStr">
        <is>
          <t>ホスピタリティツーリズム専門学校卒業後、日本ヒルトンに入社。海外顧客9割の環境で英語接客を経験。新入社員・中途社員の教育担当も務め、清掃管理リスト作成など業務改善に取り組む。レストランサービス技能検定3級保有。</t>
        </is>
      </c>
    </row>
    <row r="11" ht="70" customHeight="1" s="33">
      <c r="A11" s="2" t="inlineStr">
        <is>
          <t>澤津 光佐</t>
        </is>
      </c>
      <c r="B11" s="3" t="inlineStr">
        <is>
          <t>株式会社ウィルオブ・コンストラクション</t>
        </is>
      </c>
      <c r="C11" s="3" t="inlineStr">
        <is>
          <t>施設警備員、副隊長</t>
        </is>
      </c>
      <c r="D11" s="3" t="inlineStr">
        <is>
          <t>施設巡回・異常対応、シフト作成、労務・勤怠管理、受付業務、リーダーシップ</t>
        </is>
      </c>
      <c r="E11" s="2" t="n">
        <v>25</v>
      </c>
      <c r="F11" s="2" t="n">
        <v>2</v>
      </c>
      <c r="G11" s="3" t="inlineStr">
        <is>
          <t>警備</t>
        </is>
      </c>
      <c r="H11" s="3" t="inlineStr">
        <is>
          <t>約2年（警備）</t>
        </is>
      </c>
      <c r="I11" s="3" t="inlineStr">
        <is>
          <t>イオンディライトセキュリティに入社し、約1年半で副隊長に昇格。施設巡回・救急対応・シフト作成・勤怠管理まで幅広く担当。不動産への関心も高く、宅地建物取引士取得を志向。</t>
        </is>
      </c>
    </row>
    <row r="12" ht="70" customHeight="1" s="33">
      <c r="A12" s="4" t="inlineStr">
        <is>
          <t>長野 永遠</t>
        </is>
      </c>
      <c r="B12" s="5" t="inlineStr">
        <is>
          <t>株式会社リクルート_飲食・ビューティー領域（KS）</t>
        </is>
      </c>
      <c r="C12" s="5" t="inlineStr">
        <is>
          <t>スターバックス店長・SV・バリスタ</t>
        </is>
      </c>
      <c r="D12" s="5" t="inlineStr">
        <is>
          <t>店舗経営・P&amp;L管理、人材育成（店長3名輩出）、PDCA、売上分析・仮説検証、Excel/PowerPoint、宅地建物取引士、食品衛生管理者</t>
        </is>
      </c>
      <c r="E12" s="4" t="n">
        <v>27</v>
      </c>
      <c r="F12" s="4" t="n">
        <v>0</v>
      </c>
      <c r="G12" s="5" t="inlineStr">
        <is>
          <t>飲食・カフェ</t>
        </is>
      </c>
      <c r="H12" s="5" t="inlineStr">
        <is>
          <t>約7.5年</t>
        </is>
      </c>
      <c r="I12" s="5" t="inlineStr">
        <is>
          <t>CCC（スターバックス事業本部）に7年半勤務。アルバイトから正社員・店長へ昇格。新店立ち上げ（売上予算138%・営業利益予算388%達成）や採用困難地区の課題解決を主導。店長3名を育成・輩出。データ分析と人材育成を強みとし、人材業界へのキャリアチェンジを志望。</t>
        </is>
      </c>
    </row>
    <row r="13" ht="70" customHeight="1" s="33">
      <c r="A13" s="2" t="inlineStr">
        <is>
          <t>新井 啓介</t>
        </is>
      </c>
      <c r="B13" s="3" t="inlineStr">
        <is>
          <t>ソフトバンク株式会社</t>
        </is>
      </c>
      <c r="C13" s="3" t="inlineStr">
        <is>
          <t>小売接客・販売スタッフ、製造ラインスタッフ</t>
        </is>
      </c>
      <c r="D13" s="3" t="inlineStr">
        <is>
          <t>接客・販売（アパレル・食品）、顧客ニーズヒアリング、製造ライン作業、ホスピタリティ</t>
        </is>
      </c>
      <c r="E13" s="2" t="n">
        <v>23</v>
      </c>
      <c r="F13" s="2" t="n">
        <v>2</v>
      </c>
      <c r="G13" s="3" t="inlineStr">
        <is>
          <t>製造</t>
        </is>
      </c>
      <c r="H13" s="3" t="inlineStr">
        <is>
          <t>約3年（アルバイト）</t>
        </is>
      </c>
      <c r="I13" s="3" t="inlineStr">
        <is>
          <t>専門学校（ダンス・俳優）卒業後、イオン・ライトオンでアルバイト経験。イオンでは入社2ヶ月で顧客満足度における店内表彰を獲得。現在は製造業で基礎力を養成中。学習意欲と実行力を強みとし、正社員としての初就職を目指している。</t>
        </is>
      </c>
    </row>
    <row r="14" ht="70" customHeight="1" s="33">
      <c r="A14" s="4" t="inlineStr">
        <is>
          <t>荒井 優香</t>
        </is>
      </c>
      <c r="B14" s="5" t="inlineStr">
        <is>
          <t>レバレジーズ株式会社</t>
        </is>
      </c>
      <c r="C14" s="5" t="inlineStr">
        <is>
          <t>眼鏡販売スタッフ・副店長・店長</t>
        </is>
      </c>
      <c r="D14" s="5" t="inlineStr">
        <is>
          <t>店舗マネジメント・売上管理、スタッフ育成、新店立ち上げ、オペレーション構築、顧客対応・提案販売、Excel/Word/PowerPoint、販売士2級</t>
        </is>
      </c>
      <c r="E14" s="4" t="n">
        <v>26</v>
      </c>
      <c r="F14" s="4" t="n">
        <v>0</v>
      </c>
      <c r="G14" s="5" t="inlineStr">
        <is>
          <t>小売（眼鏡・アイウェア）</t>
        </is>
      </c>
      <c r="H14" s="5" t="inlineStr">
        <is>
          <t>約3.5年</t>
        </is>
      </c>
      <c r="I14" s="5" t="inlineStr">
        <is>
          <t>成城大学卒業後、ジンズに新卒入社。販売スタッフ→副店長→店長と昇格。長野県新店舗ではオプション装着率4ヶ月連続県内1位、7月度新店売上同ランク1位を達成。複数店舗・地域での経験を持ち、チーム育成と新店立ち上げを強みとする。</t>
        </is>
      </c>
    </row>
    <row r="15" ht="70" customHeight="1" s="33">
      <c r="A15" s="2" t="inlineStr">
        <is>
          <t>浅見 悠輔</t>
        </is>
      </c>
      <c r="B15" s="3" t="inlineStr">
        <is>
          <t>株式会社はなまる</t>
        </is>
      </c>
      <c r="C15" s="3" t="inlineStr">
        <is>
          <t>鉄道駅員・列車乗務員（車掌・運転士）</t>
        </is>
      </c>
      <c r="D15" s="3" t="inlineStr">
        <is>
          <t>鉄道運転・安全管理、旅客対応、新入社員教育、勤務表自動化（Excel）、簿記3級、動力車操縦者甲種</t>
        </is>
      </c>
      <c r="E15" s="2" t="n">
        <v>30</v>
      </c>
      <c r="F15" s="2" t="n">
        <v>0</v>
      </c>
      <c r="G15" s="3" t="inlineStr">
        <is>
          <t>交通・鉄道</t>
        </is>
      </c>
      <c r="H15" s="3" t="inlineStr">
        <is>
          <t>約11年</t>
        </is>
      </c>
      <c r="I15" s="3" t="inlineStr">
        <is>
          <t>高校卒業後、京急グループに入社し一社専念で11年以上勤務。駅係員から車掌・運転士へキャリアアップ。会計監査で経理部長に評価を受け、部内表彰・無事故表彰を受賞。Excelで勤務表自動化の仕組みを構築するなど、業務改善意識も高い。</t>
        </is>
      </c>
    </row>
    <row r="16" ht="70" customHeight="1" s="33">
      <c r="A16" s="4" t="inlineStr">
        <is>
          <t>武藤 崚</t>
        </is>
      </c>
      <c r="B16" s="5" t="inlineStr">
        <is>
          <t>ゼネラル・パーチェス株式会社</t>
        </is>
      </c>
      <c r="C16" s="5" t="inlineStr">
        <is>
          <t>古物買取営業（フィールドバイヤー）</t>
        </is>
      </c>
      <c r="D16" s="5" t="inlineStr">
        <is>
          <t>個人向け買取営業、査定力、顧客対応・クレーム処理、部門間連携交渉</t>
        </is>
      </c>
      <c r="E16" s="4" t="n">
        <v>26</v>
      </c>
      <c r="F16" s="4" t="n">
        <v>1</v>
      </c>
      <c r="G16" s="5" t="inlineStr">
        <is>
          <t>リユース・古物買取</t>
        </is>
      </c>
      <c r="H16" s="5" t="inlineStr">
        <is>
          <t>約2.5年</t>
        </is>
      </c>
      <c r="I16" s="5" t="inlineStr">
        <is>
          <t>同志社大学卒業後、REGATE社に新卒入社。ブランド品・時計・貴金属等の個人買取営業に従事。2023年度下期120%、2024年度110%の予算達成。東日本顧客満足度営業99名中1位。ヒアリング力と信頼構築を強みとした提案型営業スタイル。</t>
        </is>
      </c>
    </row>
    <row r="17" ht="70" customHeight="1" s="33">
      <c r="A17" s="2" t="inlineStr">
        <is>
          <t>磯部 翔平</t>
        </is>
      </c>
      <c r="B17" s="3" t="inlineStr">
        <is>
          <t>大東建託株式会社</t>
        </is>
      </c>
      <c r="C17" s="3" t="inlineStr">
        <is>
          <t>中学校・特別支援学校教諭（保健体育）</t>
        </is>
      </c>
      <c r="D17" s="3" t="inlineStr">
        <is>
          <t>学級経営、生徒・保護者対応、部活動指導（ハンドボール・バスケ）、課題発見・改善、チームマネジメント、中学教諭免許・高校教諭免許</t>
        </is>
      </c>
      <c r="E17" s="2" t="n">
        <v>31</v>
      </c>
      <c r="F17" s="2" t="n">
        <v>0</v>
      </c>
      <c r="G17" s="3" t="inlineStr">
        <is>
          <t>教育（公立中学校）</t>
        </is>
      </c>
      <c r="H17" s="3" t="inlineStr">
        <is>
          <t>約8年</t>
        </is>
      </c>
      <c r="I17" s="3" t="inlineStr">
        <is>
          <t>特別支援学校講師2年・公立中学校教諭6年の経験。担任5学級・延べ200名を指導。学校生活満足度90%達成、部活動で愛知地区大会準優勝・県大会出場を実現。人材紹介営業へのキャリアチェンジを志望。</t>
        </is>
      </c>
    </row>
    <row r="18" ht="70" customHeight="1" s="33">
      <c r="A18" s="4" t="inlineStr">
        <is>
          <t>池田 貴璃子</t>
        </is>
      </c>
      <c r="B18" s="5" t="inlineStr">
        <is>
          <t>株式会社リクルート_SUUMOカウンター領域</t>
        </is>
      </c>
      <c r="C18" s="5" t="inlineStr">
        <is>
          <t>ウェディングプランナー・宴会スタッフ</t>
        </is>
      </c>
      <c r="D18" s="5" t="inlineStr">
        <is>
          <t>新規接客・成約営業、打合せ・施行管理、集客施策（HP運用）、新人OJT、チーフWP昇格実績</t>
        </is>
      </c>
      <c r="E18" s="4" t="n">
        <v>26</v>
      </c>
      <c r="F18" s="4" t="n">
        <v>0</v>
      </c>
      <c r="G18" s="5" t="inlineStr">
        <is>
          <t>ブライダル・ホテル</t>
        </is>
      </c>
      <c r="H18" s="5" t="inlineStr">
        <is>
          <t>約6年</t>
        </is>
      </c>
      <c r="I18" s="5" t="inlineStr">
        <is>
          <t>目黒雅叙園に入社後、宴会部を経てウェディングプランナーとして4年間活躍。4年間で新規接客270組・成約149組（成約率55%）を達成。全社ウェディングアワードトップ10入賞。2025年4月チーフWPに昇格。</t>
        </is>
      </c>
    </row>
    <row r="19" ht="70" customHeight="1" s="33">
      <c r="A19" s="2" t="inlineStr">
        <is>
          <t>花田 絵里香</t>
        </is>
      </c>
      <c r="B19" s="3" t="inlineStr">
        <is>
          <t>東建コーポレーション株式会社</t>
        </is>
      </c>
      <c r="C19" s="3" t="inlineStr">
        <is>
          <t>美容師（スタイリスト・業務委託）</t>
        </is>
      </c>
      <c r="D19" s="3" t="inlineStr">
        <is>
          <t>カット・カラー・パーマ全般、カウンセリング、顧客管理、予約管理、管理美容師資格</t>
        </is>
      </c>
      <c r="E19" s="2" t="n">
        <v>31</v>
      </c>
      <c r="F19" s="2" t="n">
        <v>2</v>
      </c>
      <c r="G19" s="3" t="inlineStr">
        <is>
          <t>美容・サロン</t>
        </is>
      </c>
      <c r="H19" s="3" t="inlineStr">
        <is>
          <t>約11年</t>
        </is>
      </c>
      <c r="I19" s="3" t="inlineStr">
        <is>
          <t>専門学校卒業後、ケンジグループで正社員スタイリストを経験後、B-first・mirror ballにて業務委託で活動。カウンセリング重視の接客と安心感ある雰囲気づくりを強みとし、リピーター獲得に貢献。管理美容師資格保有。</t>
        </is>
      </c>
    </row>
    <row r="20" ht="70" customHeight="1" s="33">
      <c r="A20" s="4" t="inlineStr">
        <is>
          <t>塩谷 拓巳</t>
        </is>
      </c>
      <c r="B20" s="5" t="inlineStr">
        <is>
          <t>株式会社エス・エム・エス</t>
        </is>
      </c>
      <c r="C20" s="5" t="inlineStr">
        <is>
          <t>中古車販売営業（セールスリーダー）、個人事業主（ブライダル・卸営業）</t>
        </is>
      </c>
      <c r="D20" s="5" t="inlineStr">
        <is>
          <t>反響営業・飛込営業、高単価商材接客、KPI管理、OJT指導、MOS Excel/Word、オンライン商談</t>
        </is>
      </c>
      <c r="E20" s="4" t="n">
        <v>25</v>
      </c>
      <c r="F20" s="4" t="n">
        <v>1</v>
      </c>
      <c r="G20" s="5" t="inlineStr">
        <is>
          <t>中古車販売・個人事業</t>
        </is>
      </c>
      <c r="H20" s="5" t="inlineStr">
        <is>
          <t>約2年（法人）＋個人事業</t>
        </is>
      </c>
      <c r="I20" s="5" t="inlineStr">
        <is>
          <t>IDOM岡山支店でセールスリーダーを担当。2024年度売上2,500万円（前年比250%）・顧客満足度9.2点を達成。退職後は個人事業主としてブライダル撮影・日用品卸営業に従事。反響・飛込・オンライン全方位の営業経験を持つ。</t>
        </is>
      </c>
      <c r="J20" s="7" t="inlineStr">
        <is>
          <t>【総合コメント】高い目標達成意欲と、成果のために自身の行動やプライドを柔軟に変えられる「成果意識」と「受容性」を高く評価し内定。環境に依存せず自責でPDCAを回せる姿勢は、入社後の早期活躍を期待させる。
【ポジティブ】①圧倒的な成果意識と行動力（予算比150%目標を自ら設定し達成）②柔軟な自己変革と受容性（年下同僚から素直に学ぶ）③自責思考に基づく学習スタンス</t>
        </is>
      </c>
    </row>
    <row r="21" ht="70" customHeight="1" s="33">
      <c r="A21" s="2" t="inlineStr">
        <is>
          <t>犬窪 智也</t>
        </is>
      </c>
      <c r="B21" s="3" t="inlineStr">
        <is>
          <t>株式会社はなまる</t>
        </is>
      </c>
      <c r="C21" s="3" t="inlineStr">
        <is>
          <t>保育士（幼保連携型認定こども園）</t>
        </is>
      </c>
      <c r="D21" s="3" t="inlineStr">
        <is>
          <t>2〜5歳児クラス担任、保護者対応・面談、行事企画運営、体育活動指導、保育士資格・幼稚園教諭一種・小学校教諭二種</t>
        </is>
      </c>
      <c r="E21" s="2" t="n">
        <v>27</v>
      </c>
      <c r="F21" s="2" t="n">
        <v>0</v>
      </c>
      <c r="G21" s="3" t="inlineStr">
        <is>
          <t>保育・教育</t>
        </is>
      </c>
      <c r="H21" s="3" t="inlineStr">
        <is>
          <t>約4年</t>
        </is>
      </c>
      <c r="I21" s="3" t="inlineStr">
        <is>
          <t>常磐会学園大学卒業後、木の実キッズキャンパスに入職し4年間在籍。2〜5歳児の担任として保育計画・行事運営・保護者対応を担当。男性保育士として体力面での強みを発揮。対人理解力・向上心・主体性を強みとし、異業種へのキャリアチェンジを志望。</t>
        </is>
      </c>
    </row>
    <row r="22" ht="70" customHeight="1" s="33">
      <c r="A22" s="4" t="inlineStr">
        <is>
          <t>黒田 党摩</t>
        </is>
      </c>
      <c r="B22" s="5" t="inlineStr">
        <is>
          <t>株式会社ワークポート</t>
        </is>
      </c>
      <c r="C22" s="5" t="inlineStr">
        <is>
          <t>求人広告・DX商材の法人営業、旅館フロントスタッフ</t>
        </is>
      </c>
      <c r="D22" s="5" t="inlineStr">
        <is>
          <t>新規法人営業（1日50件アプローチ）、DX提案（MEO・面接日程自動化）、英語接客（TOEIC625点）、Excel/PowerPoint/Slack/Zoom</t>
        </is>
      </c>
      <c r="E22" s="4" t="n">
        <v>25</v>
      </c>
      <c r="F22" s="4" t="n">
        <v>2</v>
      </c>
      <c r="G22" s="5" t="inlineStr">
        <is>
          <t>HR・求人広告</t>
        </is>
      </c>
      <c r="H22" s="5" t="inlineStr">
        <is>
          <t>約1.5年（営業）</t>
        </is>
      </c>
      <c r="I22" s="5" t="inlineStr">
        <is>
          <t>ディップ社で法人営業に従事し、入社7ヶ月目以降10ヶ月連続目標達成・同期8名中1位を維持。2024年度上期売上260万円（達成率120%）。退職後は旅館フロント勤務を経てNZワーキングホリデー。英語日常会話レベル。</t>
        </is>
      </c>
    </row>
    <row r="23" ht="70" customHeight="1" s="33">
      <c r="A23" s="2" t="inlineStr">
        <is>
          <t>川上 凜々</t>
        </is>
      </c>
      <c r="B23" s="3" t="inlineStr">
        <is>
          <t>株式会社リクルート_飲食・ビューティー領域（KS）</t>
        </is>
      </c>
      <c r="C23" s="3" t="inlineStr">
        <is>
          <t>臨床検査技師（病院）</t>
        </is>
      </c>
      <c r="D23" s="3" t="inlineStr">
        <is>
          <t>生理検査・検体検査（心電図・肺機能・血液・尿）、医療安全対策、業務改善提案、患者コミュニケーション、臨床検査技師資格</t>
        </is>
      </c>
      <c r="E23" s="2" t="n">
        <v>23</v>
      </c>
      <c r="F23" s="2" t="n">
        <v>0</v>
      </c>
      <c r="G23" s="3" t="inlineStr">
        <is>
          <t>医療・病院</t>
        </is>
      </c>
      <c r="H23" s="3" t="inlineStr">
        <is>
          <t>約2年</t>
        </is>
      </c>
      <c r="I23" s="3" t="inlineStr">
        <is>
          <t>鳥取大学医学部卒業後、岡山西大寺病院に入職。医療安全対策委員会・院内感染対策委員会に所属し、検体未到着検知システムの導入と委員会資料の効率化を推進。問題解決力・洞察力を強みに異業種への転職を志望。</t>
        </is>
      </c>
    </row>
    <row r="24" ht="70" customHeight="1" s="33">
      <c r="A24" s="4" t="inlineStr">
        <is>
          <t>松田 丈一郎</t>
        </is>
      </c>
      <c r="B24" s="5" t="inlineStr">
        <is>
          <t>株式会社リクルート_飲食・ビューティー領域（KS）</t>
        </is>
      </c>
      <c r="C24" s="5" t="inlineStr">
        <is>
          <t>中学校・高等学校教諭（理科）</t>
        </is>
      </c>
      <c r="D24" s="5" t="inlineStr">
        <is>
          <t>理科授業設計・ICT活用（YouTube動画配信・Googleフォーム自動採点）、学級経営、部活指導（ソフトテニス地区優勝）、中学・高校教諭免許（理科）、FP3級</t>
        </is>
      </c>
      <c r="E24" s="4" t="n">
        <v>27</v>
      </c>
      <c r="F24" s="4" t="n">
        <v>0</v>
      </c>
      <c r="G24" s="5" t="inlineStr">
        <is>
          <t>教育（公立中学校）</t>
        </is>
      </c>
      <c r="H24" s="5" t="inlineStr">
        <is>
          <t>約5年</t>
        </is>
      </c>
      <c r="I24" s="5" t="inlineStr">
        <is>
          <t>愛媛大学理学部卒業後、高校講師1年・中学校教諭4年を経験。ICT活用で学校全体の残業を削減（担任9名の1日1時間削減）。受験生の定期試験平均点を10点向上。地区大会優勝部活を指導。主体性・行動力を強みとする。</t>
        </is>
      </c>
    </row>
    <row r="25" ht="70" customHeight="1" s="33">
      <c r="A25" s="2" t="inlineStr">
        <is>
          <t>新野 進也</t>
        </is>
      </c>
      <c r="B25" s="3" t="inlineStr">
        <is>
          <t>株式会社リクルート_住宅領域</t>
        </is>
      </c>
      <c r="C25" s="3" t="inlineStr">
        <is>
          <t>トリマー（犬・猫のトリミング）</t>
        </is>
      </c>
      <c r="D25" s="3" t="inlineStr">
        <is>
          <t>犬猫のトリミング施術、飼い主カウンセリング、予約管理、クレーム対応、店舗運営補助、業務改善提案</t>
        </is>
      </c>
      <c r="E25" s="2" t="n">
        <v>28</v>
      </c>
      <c r="F25" s="2" t="n">
        <v>0</v>
      </c>
      <c r="G25" s="3" t="inlineStr">
        <is>
          <t>ペット・トリミング</t>
        </is>
      </c>
      <c r="H25" s="3" t="inlineStr">
        <is>
          <t>約8年</t>
        </is>
      </c>
      <c r="I25" s="3" t="inlineStr">
        <is>
          <t>スカイ総合ペット専門学校卒業後、シエル社でトリマーとして8年間在籍。犬種・猫種・状態に応じた提案でリピーター獲得に貢献。カウンセリング力・信頼構築力・クレーム対応力を強みとし、営業職へのキャリアチェンジを志望。</t>
        </is>
      </c>
    </row>
    <row r="26" ht="70" customHeight="1" s="33">
      <c r="A26" s="4" t="inlineStr">
        <is>
          <t>高瀬 尚也</t>
        </is>
      </c>
      <c r="B26" s="5" t="inlineStr">
        <is>
          <t>ゼネラル・パーチェス株式会社</t>
        </is>
      </c>
      <c r="C26" s="5" t="inlineStr">
        <is>
          <t>理学療法士（介護老人保健施設・小児医療）</t>
        </is>
      </c>
      <c r="D26" s="5" t="inlineStr">
        <is>
          <t>リハビリテーション業務、在宅復帰マネジメント、副主任・売上管理、後輩指導、福祉用具選定、理学療法士免許・認定理学療法士（介護予防）</t>
        </is>
      </c>
      <c r="E26" s="4" t="n">
        <v>32</v>
      </c>
      <c r="F26" s="4" t="n">
        <v>1</v>
      </c>
      <c r="G26" s="5" t="inlineStr">
        <is>
          <t>介護・リハビリ</t>
        </is>
      </c>
      <c r="H26" s="5" t="inlineStr">
        <is>
          <t>約10年</t>
        </is>
      </c>
      <c r="I26" s="5" t="inlineStr">
        <is>
          <t>北海道文教大学卒業後、小児医療センター1年・介護老人保健施設9年勤務。在宅復帰率90%以上を継続達成。2024年副主任就任後、リハビリ課売上前年比117%（2,000万→2,350万円）を実現。スタッフマネジメント・後輩育成にも注力。</t>
        </is>
      </c>
    </row>
    <row r="27" ht="70" customHeight="1" s="33">
      <c r="A27" s="2" t="inlineStr">
        <is>
          <t>薬師寺 優貴</t>
        </is>
      </c>
      <c r="B27" s="3" t="inlineStr">
        <is>
          <t>株式会社エス・エム・エス</t>
        </is>
      </c>
      <c r="C27" s="3" t="inlineStr">
        <is>
          <t>中学校教諭（技術・数学）、GIGAスクール推進担当</t>
        </is>
      </c>
      <c r="D27" s="3" t="inlineStr">
        <is>
          <t>ICT活用推進（教員ICT活用率20%→100%）、学級経営、生徒会指導、校則改正プロジェクト推進、中学・高校教諭免許（数学・技術・工業）</t>
        </is>
      </c>
      <c r="E27" s="2" t="n">
        <v>26</v>
      </c>
      <c r="F27" s="2" t="n">
        <v>0</v>
      </c>
      <c r="G27" s="3" t="inlineStr">
        <is>
          <t>教育（公立中学校）</t>
        </is>
      </c>
      <c r="H27" s="3" t="inlineStr">
        <is>
          <t>約4年</t>
        </is>
      </c>
      <c r="I27" s="3" t="inlineStr">
        <is>
          <t>東京学芸大学卒業後、川崎市立高津中学校に4年間勤務。GIGAスクール推進教師として教員ICT活用率を100%に引き上げ、会議資料準備・会議時間を80%削減。授業満足度50%→80%向上。校則改正プロジェクトで合意形成を主導。</t>
        </is>
      </c>
      <c r="J27" s="7" t="inlineStr">
        <is>
          <t>【総合コメント】現職（教員）において、市から規定されていないにもかかわらず自ら「ICT活用率100%」という高い目標を掲げ、周囲を巻き込んで完遂した圧倒的な行動力を高く評価。また、未経験の領域であっても変なプライドを持たず、アドバイスを即座に吸収しようとする「極めて高い素直さ」をお持ちであり、弊社のカルチャーに強くマッチするポテンシャル人材であると判断し内定。
【ポジティブ】①圧倒的な素直さと受容性②泥臭く目標を完遂する力（グリット）</t>
        </is>
      </c>
    </row>
    <row r="28" ht="70" customHeight="1" s="33">
      <c r="A28" s="4" t="inlineStr">
        <is>
          <t>高嶺 輝也</t>
        </is>
      </c>
      <c r="B28" s="5" t="inlineStr">
        <is>
          <t>株式会社BREXA Technology（旧株式会社アウトソーシングテクノロジー）</t>
        </is>
      </c>
      <c r="C28" s="5" t="inlineStr">
        <is>
          <t>小学校教諭（非常勤講師・正規教諭）</t>
        </is>
      </c>
      <c r="D28" s="5" t="inlineStr">
        <is>
          <t>学級担任（30名）、ICT活用指導、行事企画・運営、学年会計、特別支援学級対応、小学校・中高音楽教諭免許</t>
        </is>
      </c>
      <c r="E28" s="4" t="n">
        <v>26</v>
      </c>
      <c r="F28" s="4" t="n">
        <v>1</v>
      </c>
      <c r="G28" s="5" t="inlineStr">
        <is>
          <t>教育（公立小学校）</t>
        </is>
      </c>
      <c r="H28" s="5" t="inlineStr">
        <is>
          <t>約3年</t>
        </is>
      </c>
      <c r="I28" s="5" t="inlineStr">
        <is>
          <t>岐阜大学教育学部卒業後、非常勤講師（特別支援学級）1年・横浜市立小学校正規教諭2年目在籍。30名学級担任としてICT活用授業・行事運営・学年会計を担当。状況判断力・マルチタスク力・コミュニケーション力を強みとする。</t>
        </is>
      </c>
    </row>
    <row r="29" ht="70" customHeight="1" s="33">
      <c r="A29" s="2" t="inlineStr">
        <is>
          <t>勝又 優紀</t>
        </is>
      </c>
      <c r="B29" s="3" t="inlineStr">
        <is>
          <t>ゼネラル・パーチェス株式会社</t>
        </is>
      </c>
      <c r="C29" s="3" t="inlineStr">
        <is>
          <t>理学療法士（急性期総合病院）</t>
        </is>
      </c>
      <c r="D29" s="3" t="inlineStr">
        <is>
          <t>入院・外来リハビリ（月170〜200名）、臨床推論・治療計画立案、多職種連携、後輩・学生指導、理学療法士免許・心不全療養指導士、学会発表（Clinical Research Award入賞）</t>
        </is>
      </c>
      <c r="E29" s="2" t="n">
        <v>26</v>
      </c>
      <c r="F29" s="2" t="n">
        <v>0</v>
      </c>
      <c r="G29" s="3" t="inlineStr">
        <is>
          <t>医療・病院</t>
        </is>
      </c>
      <c r="H29" s="3" t="inlineStr">
        <is>
          <t>約4年</t>
        </is>
      </c>
      <c r="I29" s="3" t="inlineStr">
        <is>
          <t>国際医療福祉大学卒業後、市川病院に入職。月200名のリハビリを担当し継続率99%を維持。InBodyを用いた多職種チーム研究を主導し関東循環器学会でClinical Research Award入賞・ベスト5。4年目で後輩・学生6名の育成を担当。</t>
        </is>
      </c>
    </row>
    <row r="30" ht="70" customHeight="1" s="33">
      <c r="A30" s="4" t="inlineStr">
        <is>
          <t>佐久川 政哉</t>
        </is>
      </c>
      <c r="B30" s="5" t="inlineStr">
        <is>
          <t>ほけんの窓口グループ株式会社</t>
        </is>
      </c>
      <c r="C30" s="5" t="inlineStr">
        <is>
          <t>人材育成・派遣担当（ブライダル企業）</t>
        </is>
      </c>
      <c r="D30" s="5" t="inlineStr">
        <is>
          <t>学生アルバイト組織運営（140名）、シフト・アサイン管理、定期面談・育成、イベント企画、充足率管理、社外ハイアット派遣（社内1位50回）</t>
        </is>
      </c>
      <c r="E30" s="4" t="n">
        <v>23</v>
      </c>
      <c r="F30" s="4" t="n">
        <v>0</v>
      </c>
      <c r="G30" s="5" t="inlineStr">
        <is>
          <t>ブライダル・人材育成</t>
        </is>
      </c>
      <c r="H30" s="5" t="inlineStr">
        <is>
          <t>約2年</t>
        </is>
      </c>
      <c r="I30" s="5" t="inlineStr">
        <is>
          <t>沖縄国際大学卒業後、沖縄ワタベウェディングに入社。140名の学生スタッフを4名チームで運営し、自社充足率を65%→90%（史上最高）に引き上げ、外部委託費4,200万円削減を達成。部署内評価オールA。大学での講義登壇実績あり。</t>
        </is>
      </c>
    </row>
    <row r="31" ht="126.5" customHeight="1" s="33">
      <c r="A31" s="2" t="inlineStr">
        <is>
          <t>平野 直輝</t>
        </is>
      </c>
      <c r="B31" s="3" t="inlineStr">
        <is>
          <t>株式会社IDOM</t>
        </is>
      </c>
      <c r="C31" s="3" t="inlineStr">
        <is>
          <t>温浴施設副主任（店舗運営・接客サービス）</t>
        </is>
      </c>
      <c r="D31" s="3" t="inlineStr">
        <is>
          <t>店舗運営・接客サービス、50名超アルバイト管理・教育、業務マニュアル作成、シフト管理、新規店舗立ち上げ、大型リニューアル対応</t>
        </is>
      </c>
      <c r="E31" s="2" t="n">
        <v>31</v>
      </c>
      <c r="F31" s="2" t="n">
        <v>0</v>
      </c>
      <c r="G31" s="3" t="inlineStr">
        <is>
          <t>温浴施設・サービス</t>
        </is>
      </c>
      <c r="H31" s="3" t="inlineStr">
        <is>
          <t>約9年</t>
        </is>
      </c>
      <c r="I31" s="3" t="inlineStr">
        <is>
          <t>高校卒業後、ふくの湯にアルバイト入社し2年後正社員に。2019年新規店舗立ち上げで副主任に昇進。50名超のアルバイトマネジメント・シフト管理・マニュアル作成を担当。2024年大型リニューアルにも参画。傾聴力と課題解決の提案力が強み。</t>
        </is>
      </c>
    </row>
    <row r="32" ht="126.5" customHeight="1" s="33">
      <c r="A32" s="4" t="inlineStr">
        <is>
          <t>家村 美玲</t>
        </is>
      </c>
      <c r="B32" s="5" t="inlineStr">
        <is>
          <t>株式会社リクルート_飲食・ビューティー領域（KS）</t>
        </is>
      </c>
      <c r="C32" s="5" t="inlineStr">
        <is>
          <t>スーパー精肉担当（パート→正社員業務）、ファッションインターン、青果部門スタッフ</t>
        </is>
      </c>
      <c r="D32" s="5" t="inlineStr">
        <is>
          <t>精肉加工・スライサー・売り場管理・発注・棚卸し、青果商品化・POP制作・接客、ファッション接客・展示会運営、吸収力・能動的学習</t>
        </is>
      </c>
      <c r="E32" s="4" t="n">
        <v>31</v>
      </c>
      <c r="F32" s="4" t="n">
        <v>3</v>
      </c>
      <c r="G32" s="5" t="inlineStr">
        <is>
          <t>食品小売（スーパー）</t>
        </is>
      </c>
      <c r="H32" s="5" t="inlineStr">
        <is>
          <t>約5年（社会人）</t>
        </is>
      </c>
      <c r="I32" s="5" t="inlineStr">
        <is>
          <t>日本大学芸術学部デザイン学科卒業後、ファッションブランドインターン・サミット青果部門・サンベルクス精肉部門を経験。精肉部門では正社員業務（発注・価格管理・棚卸し）まで担当。吸収力と環境適応力を強みに営業職へのキャリアチェンジを志望。</t>
        </is>
      </c>
    </row>
    <row r="33" ht="126.5" customHeight="1" s="33">
      <c r="A33" s="2" t="inlineStr">
        <is>
          <t>安保 文人</t>
        </is>
      </c>
      <c r="B33" s="17" t="inlineStr">
        <is>
          <t>株式会社UZUZ</t>
        </is>
      </c>
      <c r="C33" s="3" t="inlineStr">
        <is>
          <t>ネットワークエンジニア（運用保守）、携帯販売営業</t>
        </is>
      </c>
      <c r="D33" s="3" t="inlineStr">
        <is>
          <t>法人向けネットワーク運用保守（Linux/Cisco/Juniper各5年）、携帯販売営業（組織内1位）、後輩メンター育成（7名）、業務標準化・マニュアル作成</t>
        </is>
      </c>
      <c r="E33" s="2" t="n">
        <v>28</v>
      </c>
      <c r="F33" s="2" t="n">
        <v>1</v>
      </c>
      <c r="G33" s="3" t="inlineStr">
        <is>
          <t>携帯販売営業</t>
        </is>
      </c>
      <c r="H33" s="3" t="inlineStr">
        <is>
          <t>約7年（エンジニア）＋約1年（営業）</t>
        </is>
      </c>
      <c r="I33" s="3" t="inlineStr">
        <is>
          <t>APコミュニケーションズで6年半ネットワークエンジニアとして勤務後、FIDIA SOLUTIONSで携帯販売営業に転職。2025年9〜12月に組織内80名中1位の営業成績を達成。後輩7名のメンター担当。エンジニア経験と営業力を掛け合わせたキャリアを志向。</t>
        </is>
      </c>
    </row>
    <row r="34" ht="126.5" customHeight="1" s="33">
      <c r="A34" s="4" t="inlineStr">
        <is>
          <t>笠井 雄太</t>
        </is>
      </c>
      <c r="B34" s="5" t="inlineStr">
        <is>
          <t>株式会社リクルート_飲食・ビューティー領域（KS）</t>
        </is>
      </c>
      <c r="C34" s="5" t="inlineStr">
        <is>
          <t>地方公務員（生活保護課・介護福祉課）</t>
        </is>
      </c>
      <c r="D34" s="5" t="inlineStr">
        <is>
          <t>生活保護受給者の就労支援（4年で11名就労達成・係内1位）、介護給付業務、ヒアリング・合意形成、FAQ整備・業務改善、小学校教諭二種・中高教諭一種免許</t>
        </is>
      </c>
      <c r="E34" s="4" t="n">
        <v>27</v>
      </c>
      <c r="F34" s="4" t="n">
        <v>0</v>
      </c>
      <c r="G34" s="5" t="inlineStr">
        <is>
          <t>行政・自治体</t>
        </is>
      </c>
      <c r="H34" s="5" t="inlineStr">
        <is>
          <t>約5年</t>
        </is>
      </c>
      <c r="I34" s="5" t="inlineStr">
        <is>
          <t>北海道教育大学卒業後、苫小牧市役所に入庁。生活保護課で4年間就労支援を担当し係内1位の実績（11名就労・5名自立）。介護福祉課では給付業務とFAQ整備による業務標準化を推進。全国研修でグループリーダーを担当。課題解決力と合意形成力が強み。</t>
        </is>
      </c>
    </row>
    <row r="35" ht="126.5" customHeight="1" s="33">
      <c r="A35" s="2" t="inlineStr">
        <is>
          <t>白井 泉梨</t>
        </is>
      </c>
      <c r="B35" s="3" t="inlineStr">
        <is>
          <t>ほけんの窓口グループ株式会社</t>
        </is>
      </c>
      <c r="C35" s="3" t="inlineStr">
        <is>
          <t>タクシー乗務員（キッズタクシー担当含む）</t>
        </is>
      </c>
      <c r="D35" s="3" t="inlineStr">
        <is>
          <t>タクシー運転・接客、キッズタクシー運行管理（事前確認・保護者連絡）、東京都内地理知識、時間管理・逆算行動計画、普通自動車二種免許</t>
        </is>
      </c>
      <c r="E35" s="2" t="n">
        <v>26</v>
      </c>
      <c r="F35" s="2" t="n">
        <v>0</v>
      </c>
      <c r="G35" s="3" t="inlineStr">
        <is>
          <t>運輸・交通（タクシー）</t>
        </is>
      </c>
      <c r="H35" s="3" t="inlineStr">
        <is>
          <t>約4年</t>
        </is>
      </c>
      <c r="I35" s="3" t="inlineStr">
        <is>
          <t>神田外語大学（英米語学科）卒業後、日本交通に入社しタクシー乗務員として4年間勤務。キッズタクシー担当チーム50名に所属し、保護者への事前連絡・ルート確認を徹底。予約送迎遅刻ゼロを継続。コミュニケーション能力と業務管理能力を強みとする。</t>
        </is>
      </c>
    </row>
    <row r="36" ht="70" customHeight="1" s="33">
      <c r="A36" s="6" t="inlineStr">
        <is>
          <t>野口 稔陽</t>
        </is>
      </c>
      <c r="B36" s="6" t="inlineStr">
        <is>
          <t>株式会社リクルート_飲食・ビューティー領域（KS）</t>
        </is>
      </c>
      <c r="C36" s="6" t="inlineStr">
        <is>
          <t>行政事務（公共工事設計・発注・監督）、業務DX推進</t>
        </is>
      </c>
      <c r="D36" s="6" t="inlineStr">
        <is>
          <t>公共工事設計・発注・施工監督、業務DX推進（公開型地図システム・Logoフォーム導入）、合意形成・関係者調整、水道技術管理者資格</t>
        </is>
      </c>
      <c r="E36" s="6" t="n">
        <v>30</v>
      </c>
      <c r="F36" s="6" t="n">
        <v>3</v>
      </c>
      <c r="G36" s="6" t="inlineStr">
        <is>
          <t>官公庁・行政</t>
        </is>
      </c>
      <c r="H36" s="6" t="inlineStr">
        <is>
          <t>約4年半（行政）</t>
        </is>
      </c>
      <c r="I36" s="6" t="inlineStr">
        <is>
          <t>龍谷大学卒業後、独立リーグ野球選手を経て行政職へ転身。海津市役所建設課（8ヶ月）、東員町役場上下水道課（約4年）に勤務。年間5,000万〜1億円規模の公共工事の設計・発注・監督・検査を一貫担当。公開型地図システムおよびLogoフォームを導入し業務DXを推進、月20時間の問い合わせ対応工数を削減。前例踏襲・紙文化の行政組織で合意形成を重ねながら業務フローを抜本改革。水道技術管理者資格保有。</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topLeftCell="A11" workbookViewId="0">
      <selection activeCell="X23" sqref="X23"/>
    </sheetView>
  </sheetViews>
  <sheetFormatPr baseColWidth="8" defaultRowHeight="13"/>
  <cols>
    <col width="28" customWidth="1" style="33" min="1" max="1"/>
    <col width="70" customWidth="1" style="33" min="2" max="2"/>
  </cols>
  <sheetData>
    <row r="1" ht="30" customHeight="1" s="33">
      <c r="A1" s="36" t="inlineStr">
        <is>
          <t>求人票データ｜ゼネラル・パーチェス株式会社</t>
        </is>
      </c>
      <c r="B1" s="35" t="n"/>
    </row>
    <row r="2" ht="20" customHeight="1" s="33">
      <c r="A2" s="34" t="inlineStr">
        <is>
          <t>【六本木本社】法人営業◆コスト分析サービスの提案 / COST DOCK</t>
        </is>
      </c>
      <c r="B2" s="35" t="n"/>
    </row>
    <row r="3" ht="80" customHeight="1" s="33">
      <c r="A3" s="10" t="inlineStr">
        <is>
          <t>必須要件（Must）</t>
        </is>
      </c>
      <c r="B3" s="11" t="inlineStr">
        <is>
          <t>・何かしらの営業経験（年数・商材・業種不問）
・第二新卒歓迎（学歴不問）</t>
        </is>
      </c>
    </row>
    <row r="4" ht="80" customHeight="1" s="33">
      <c r="A4" s="10" t="inlineStr">
        <is>
          <t>歓迎要件（Want）</t>
        </is>
      </c>
      <c r="B4" s="11" t="inlineStr">
        <is>
          <t>・経営者相手の営業に挑戦したい意欲
・数字コミットできる／行動量・タフさに自信あり
・将来的に独立・経営を視野に入れている
・セールス領域で市場価値を高めたい方</t>
        </is>
      </c>
    </row>
    <row r="5" ht="80" customHeight="1" s="33">
      <c r="A5" s="10" t="inlineStr">
        <is>
          <t>仕事内容（概要）</t>
        </is>
      </c>
      <c r="B5" s="11" t="inlineStr">
        <is>
          <t>コスト分析ITサービス「COST DOCK」の法人営業。
金融機関・税理士法人パートナーからの紹介顧客（見込み客）にWEB商談で提案。
1日4〜5件の経営者商談 → コスト分析レポート送付 → 収益改善提案 → 契約締結 → 進捗管理 → DX商材クロスセル。
新規開拓なし・インバウンド型。通信/光熱費/金融/OA/DX/AI等40項目以上を扱う。</t>
        </is>
      </c>
    </row>
    <row r="6" ht="80" customHeight="1" s="33">
      <c r="A6" s="10" t="inlineStr">
        <is>
          <t>求める人物像</t>
        </is>
      </c>
      <c r="B6" s="11" t="inlineStr">
        <is>
          <t>・成果で評価されたい／数字にコミットできる人
・行動量と粘り強さがある人
・経営者から学び成長したい人
・20代でキャリアと年収を同時に上げたい人
・プライドより素直さ・吸収力を持つ人</t>
        </is>
      </c>
    </row>
    <row r="7" ht="80" customHeight="1" s="33">
      <c r="A7" s="10" t="inlineStr">
        <is>
          <t>ターゲット層の傾向</t>
        </is>
      </c>
      <c r="B7" s="11" t="inlineStr">
        <is>
          <t>【ベンチャー志向・成果主義型】
・異業種出身者多数（金融・アパレル・飲食・人材など）
・第二新卒〜30代前半がメイン層
・学歴不問・ポテンシャル重視
・「稼ぎたい・成長したい」動機が強い人材が向く</t>
        </is>
      </c>
    </row>
    <row r="8" ht="80" customHeight="1" s="33">
      <c r="A8" s="10" t="inlineStr">
        <is>
          <t>想定年収レンジ</t>
        </is>
      </c>
      <c r="B8" s="12" t="inlineStr">
        <is>
          <t>450万〜600万円（求人票記載）
月給：309,000円（基本給24万＋固定残業代4万0時間分含む）
決算賞与あり（11月・最大月給×2.5ヶ月）
昇給：年1回
※グレード制：年収380万〜1,250万のレンジ。20代で1,000万も狙えると謳っている</t>
        </is>
      </c>
    </row>
    <row r="9" ht="100" customHeight="1" s="33">
      <c r="A9" s="10" t="inlineStr">
        <is>
          <t>NG条件・懸念点</t>
        </is>
      </c>
      <c r="B9" s="12" t="inlineStr">
        <is>
          <t>【公式NG記載なし。以下は実務上の懸念点】
・営業経験ゼロはNGの可能性（一般事務・技術職のみ経歴は注意）
・試用期間6ヶ月は契約社員扱い（内定後説明必要）
・固定残業40時間分込みの給与提示のため、実質的な時給は注意
・転職回数より「短期離職の繰り返し」は懸念される可能性あり</t>
        </is>
      </c>
    </row>
    <row r="10" ht="120" customHeight="1" s="33">
      <c r="A10" s="10" t="inlineStr">
        <is>
          <t>エージェントメモ
（裏の評価・社風）</t>
        </is>
      </c>
      <c r="B10" s="13" t="inlineStr">
        <is>
          <t>・完全インバウンド型営業で「新規開拓なし」はフックになりやすい
・毎日経営者4〜5件商談は体力勝負。タフさ・行動量を問う文化
・第二創業期で役職ポジションが出やすく、昇格スピードは速い可能性
・「稼ぎたい」動機が強い候補者への訴求ポイントは年収レンジの広さ
・社内は20〜30代が主力。カルチャーはベンチャー色強め
・「経営力が身につく」という訴求は共感型・成長意欲の高い候補者に刺さる
・NG評価ポイントとして「内向き・安定志向・指示待ち」は合わない</t>
        </is>
      </c>
    </row>
    <row r="11" ht="15" customHeight="1" s="33">
      <c r="A11" s="32" t="inlineStr">
        <is>
          <t>出典：求人票（ゼネラル・パーチェス株式会社）　※エージェントメモは求人票記載外の情報を含む</t>
        </is>
      </c>
    </row>
  </sheetData>
  <mergeCells count="3">
    <mergeCell ref="A11:B11"/>
    <mergeCell ref="A2:B2"/>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topLeftCell="BL1" workbookViewId="0">
      <selection activeCell="X23" sqref="X23"/>
    </sheetView>
  </sheetViews>
  <sheetFormatPr baseColWidth="8" defaultRowHeight="13"/>
  <cols>
    <col width="28" customWidth="1" style="33" min="1" max="1"/>
    <col width="70" customWidth="1" style="33" min="2" max="2"/>
  </cols>
  <sheetData>
    <row r="1" ht="30" customHeight="1" s="33">
      <c r="A1" s="36" t="inlineStr">
        <is>
          <t>求人票データ｜株式会社アシュアード</t>
        </is>
      </c>
      <c r="B1" s="35" t="n"/>
    </row>
    <row r="2" ht="20" customHeight="1" s="33">
      <c r="A2" s="34" t="inlineStr">
        <is>
          <t>事業開発（インサイドセールス）／Visionalグループ／サイバーセキュリティ領域</t>
        </is>
      </c>
      <c r="B2" s="35" t="n"/>
    </row>
    <row r="3" ht="60" customHeight="1" s="33">
      <c r="A3" s="10" t="inlineStr">
        <is>
          <t>必須要件（Must）</t>
        </is>
      </c>
      <c r="B3" s="11" t="inlineStr">
        <is>
          <t>・顧客折衝ができそうか（目安として営業or販売だが、顧客折衝できそうであれば可）
・年齢（法人営業未経験者の場合は26~27まで 法人営業経験者の場合は29まで）
・一定の地頭（大学偏差値50以上）</t>
        </is>
      </c>
    </row>
    <row r="4" ht="70" customHeight="1" s="33">
      <c r="A4" s="10" t="inlineStr">
        <is>
          <t>歓迎要件（Want）</t>
        </is>
      </c>
      <c r="B4" s="11" t="inlineStr">
        <is>
          <t>・法人営業またはインサイドセールス経験
・他職種と連携しながら施策実行・改善活動の経験</t>
        </is>
      </c>
    </row>
    <row r="5" ht="110" customHeight="1" s="33">
      <c r="A5" s="10" t="inlineStr">
        <is>
          <t>仕事内容（概要）</t>
        </is>
      </c>
      <c r="B5" s="11" t="inlineStr">
        <is>
          <t>クラウドセキュリティ評価サービス「Assured」のインサイドセールスを担当。
主な業務：
・新規リードの商談化（電話・メール・手紙でのアプローチ）
・失注先リードの掘り起こし
・マーケティングチームと連携したホットリード施策の検討・実行・改善
・セールスと連携した商談機会創出施策の推進
・採用活動の一部も担当
※部門・体制強化のための募集</t>
        </is>
      </c>
    </row>
    <row r="6" ht="100" customHeight="1" s="33">
      <c r="A6" s="10" t="inlineStr">
        <is>
          <t>求める人物像</t>
        </is>
      </c>
      <c r="B6" s="11" t="inlineStr">
        <is>
          <t>・Assuredのミッション「信頼で、未知を拓く。」に共感できる人
・不確実な環境でサービスを成長させることを楽しめる人
・泥臭い事業立ち上げにチャレンジしたい人
・まだ市場のない領域に新たな価値を作りたい人
・自発的に学び、周囲に共有できる人
・職能を超えたコミュニケーションを大切にできる人
・スピード感を持って課題解決を推進できる人</t>
        </is>
      </c>
    </row>
    <row r="7" ht="90" customHeight="1" s="33">
      <c r="A7" s="10" t="inlineStr">
        <is>
          <t>ターゲット層の傾向</t>
        </is>
      </c>
      <c r="B7" s="11" t="inlineStr">
        <is>
          <t>【スタートアップ・ミッション共感型】
・セキュリティ業界未経験でも可だが、B2B SaaS・IS経験者は歓迎
・Visionalグループ発スタートアップのため、ブランド訴求は強め
・「まだ世の中にないものを広げたい」という動機の人材が向く
・フレックス・ハイブリッドワーク（週3出社）と働き方の柔軟性が強み
・年齢・学歴より成長意欲とミッション共感を重視</t>
        </is>
      </c>
    </row>
    <row r="8" ht="90" customHeight="1" s="33">
      <c r="A8" s="10" t="inlineStr">
        <is>
          <t>想定年収レンジ</t>
        </is>
      </c>
      <c r="B8" s="12" t="inlineStr">
        <is>
          <t>504万〜805万円
月給：360,000〜575,000円（固定残業40時間分含む）
賞与：原則年2回（業績連動）
査定：原則年2回
フレックスタイム制（コアタイムなし）
週3出社・週2在宅のハイブリッドワーク</t>
        </is>
      </c>
    </row>
    <row r="9" ht="90" customHeight="1" s="33">
      <c r="A9" s="10" t="inlineStr">
        <is>
          <t>NG条件・懸念点</t>
        </is>
      </c>
      <c r="B9" s="12" t="inlineStr">
        <is>
          <t>【公式NG記載なし。以下は実務上の懸念点】
・顧客折衝経験が全くない人（Must条件）
・スタートアップ特有の不確実性・曖昧さが苦手な人
・「安定重視・変化を嫌う」タイプは社風とミスマッチになりやすい
・試用期間6ヶ月あり
・在籍期間が極端に短い転職歴が複数ある場合は懸念される可能性あり</t>
        </is>
      </c>
    </row>
    <row r="10" ht="110" customHeight="1" s="33">
      <c r="A10" s="10" t="inlineStr">
        <is>
          <t>エージェントメモ
（裏の評価・社風）</t>
        </is>
      </c>
      <c r="B10" s="13" t="inlineStr">
        <is>
          <t>・Visionalグループ（BizReach系）のスタートアップで採用ブランドは強い
・T2D3を超える成長率と謳っており、サービス成長フェーズのため裁量大きい
・IS職だが「採用活動も担当」とあるため、守備範囲の広さに対する柔軟性が必要
・「世の中にないサービスを最前線で広げる」という訴求は、挑戦志向の候補者に刺さる
・フレックス×ハイブリッドワークは、仕事と生活のバランスを求める候補者への訴求点になる
・NG評価ポイント：「指示待ち・受身・手順通りに動きたい人」は合わない</t>
        </is>
      </c>
    </row>
    <row r="11" ht="15" customHeight="1" s="33">
      <c r="A11" s="32" t="inlineStr">
        <is>
          <t>出典：求人票（株式会社アシュアード）2025/08/19版　※エージェントメモは求人票記載外の情報を含む</t>
        </is>
      </c>
    </row>
  </sheetData>
  <mergeCells count="3">
    <mergeCell ref="A11:B11"/>
    <mergeCell ref="A2:B2"/>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tabSelected="1" topLeftCell="J1" workbookViewId="0">
      <selection activeCell="N3" sqref="N3"/>
    </sheetView>
  </sheetViews>
  <sheetFormatPr baseColWidth="8" defaultRowHeight="13"/>
  <cols>
    <col width="28" customWidth="1" style="33" min="1" max="1"/>
    <col width="70" customWidth="1" style="33" min="2" max="2"/>
  </cols>
  <sheetData>
    <row r="1" ht="30" customHeight="1" s="33">
      <c r="A1" s="36" t="inlineStr">
        <is>
          <t>求人票データ｜株式会社マイナビ</t>
        </is>
      </c>
      <c r="B1" s="35" t="n"/>
    </row>
    <row r="2" ht="20" customHeight="1" s="33">
      <c r="A2" s="34" t="inlineStr">
        <is>
          <t>【ライフキャリア事業本部】RA / CA（企業系領域）／マイナビエージェント・マイナビ会計士</t>
        </is>
      </c>
      <c r="B2" s="35" t="n"/>
    </row>
    <row r="3" ht="80" customHeight="1" s="33">
      <c r="A3" s="10" t="inlineStr">
        <is>
          <t>必須要件（Must）</t>
        </is>
      </c>
      <c r="B3" s="11" t="inlineStr">
        <is>
          <t>■共通要件：首都圏エリアは27歳まで、地方エリアは28歳まで、2社経験以内、半年以上の離職経験なし、営業or数字を追う販売経験or ITエンジニア経験（SESでの就業は除く）</t>
        </is>
      </c>
    </row>
    <row r="4" ht="60" customHeight="1" s="33">
      <c r="A4" s="10" t="inlineStr">
        <is>
          <t>歓迎要件（Want）</t>
        </is>
      </c>
      <c r="B4" s="11" t="inlineStr">
        <is>
          <t>・無形商材での営業経験
・自ら戦略やプロセスを策定し実行した経験</t>
        </is>
      </c>
    </row>
    <row r="5" ht="150" customHeight="1" s="33">
      <c r="A5" s="10" t="inlineStr">
        <is>
          <t>仕事内容（概要）</t>
        </is>
      </c>
      <c r="B5" s="11" t="inlineStr">
        <is>
          <t>中途採用のRA（企業担当）またはCA（求職者担当）のいずれかを適性・希望に応じて担当。
【RA業務】
・新規営業（HP問合せ・紹介リード対応）、契約締結・求人票作成
・応募獲得（求人ブラッシュアップ、CA連携）
・選考フォロー・クロージング
・深耕営業（定期MTG、課題分析・改善提案）
【CA業務】
・新規面談（転職軸・希望条件・経歴ヒアリング）
・求人紹介（RAと連携）
・選考フォロー・面接対策
・スカウト・知人紹介による面談獲得</t>
        </is>
      </c>
    </row>
    <row r="6" ht="80" customHeight="1" s="33">
      <c r="A6" s="10" t="inlineStr">
        <is>
          <t>求める人物像</t>
        </is>
      </c>
      <c r="B6" s="11" t="inlineStr">
        <is>
          <t>・目標達成意欲が高く結果にこだわれる人
・バイタリティがあり、フットワーク軽くチャレンジできる人
・自ら考えて行動できる自走力がある人
・管理職へのキャリアアップを希望する人</t>
        </is>
      </c>
    </row>
    <row r="7" ht="90" customHeight="1" s="33">
      <c r="A7" s="10" t="inlineStr">
        <is>
          <t>ターゲット層の傾向</t>
        </is>
      </c>
      <c r="B7" s="11" t="inlineStr">
        <is>
          <t>【大手・ブランド志向・キャリア志向型】
・社会人1年目〜若手層（第二新卒含む）が主なターゲット
・「マイナビ」ブランドの安心感・知名度が訴求力になる
・営業未経験でも応募可で間口は広め
・全国50拠点以上で勤務地の選択肢が多い（北海道〜福岡）
・管理職へのキャリアアップ志向が強い人に向く</t>
        </is>
      </c>
    </row>
    <row r="8" ht="100" customHeight="1" s="33">
      <c r="A8" s="10" t="inlineStr">
        <is>
          <t>想定年収レンジ</t>
        </is>
      </c>
      <c r="B8" s="12" t="inlineStr">
        <is>
          <t>400万〜970万円
【モデル年収】
・26歳（中途2年・一般社員）：450〜550万円
・30歳（中途5年・課長職）：600〜750万円
・35歳（中途8年・部長職）：800〜950万円
試用期間3ヶ月（待遇変更なし）
地域手当あり（首都圏世帯主：44,500円、非世帯主：5,000円）</t>
        </is>
      </c>
    </row>
    <row r="9" ht="90" customHeight="1" s="33">
      <c r="A9" s="10" t="inlineStr">
        <is>
          <t>NG条件・懸念点</t>
        </is>
      </c>
      <c r="B9" s="12" t="inlineStr">
        <is>
          <t>【公式NG記載なし。以下は実務上の懸念点】
・社会人経験1年未満は応募不可
・RA/CA配属は希望・適性次第で決定されるため、希望ポジションが保証されない
・9:15〜17:45の固定勤務時間（一部時差出勤あり）
・転勤あり（全国拠点）※勤務地は複数申告可能
・転職回数より「短期離職の繰り返し」は懸念される可能性あり</t>
        </is>
      </c>
    </row>
    <row r="10" ht="110" customHeight="1" s="33">
      <c r="A10" s="10" t="inlineStr">
        <is>
          <t>エージェントメモ
（裏の評価・社風）</t>
        </is>
      </c>
      <c r="B10" s="13" t="inlineStr">
        <is>
          <t>・「マイナビ」ブランドは誰でも知っているため、候補者への説明コストが低い
・20事業・50以上のサービスを持つため、入社後の異動・ジョブチェンジの選択肢が多い
・副業可・在宅勤務可・社内公募制度ありなど、キャリア自律型の制度が充実
・風通しが良く中途入社者が多い社風で、異業種出身者も馴染みやすい
・RA/CAどちらになるかが選考前に確定しないことは事前説明が必要
・NG評価ポイント：「指示待ち・受身・目標数値に無関心」なタイプは合わない</t>
        </is>
      </c>
    </row>
    <row r="11" ht="15" customHeight="1" s="33">
      <c r="A11" s="32" t="inlineStr">
        <is>
          <t>出典：求人票（株式会社マイナビ）2025/04/20版　※エージェントメモは求人票記載外の情報を含む</t>
        </is>
      </c>
    </row>
  </sheetData>
  <mergeCells count="3">
    <mergeCell ref="A11:B11"/>
    <mergeCell ref="A2:B2"/>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11"/>
  <sheetViews>
    <sheetView topLeftCell="AB4" workbookViewId="0">
      <selection activeCell="X23" sqref="X23"/>
    </sheetView>
  </sheetViews>
  <sheetFormatPr baseColWidth="8" defaultRowHeight="13"/>
  <cols>
    <col width="28" customWidth="1" style="33" min="1" max="1"/>
    <col width="70" customWidth="1" style="33" min="2" max="2"/>
  </cols>
  <sheetData>
    <row r="1" ht="30" customHeight="1" s="33">
      <c r="A1" s="36" t="inlineStr">
        <is>
          <t>求人票データ｜株式会社リクルートスタッフィング</t>
        </is>
      </c>
      <c r="B1" s="35" t="n"/>
    </row>
    <row r="2" ht="20" customHeight="1" s="33">
      <c r="A2" s="34" t="inlineStr">
        <is>
          <t>【MS有期】派遣営業職／新橋・新宿・立川／未経験歓迎</t>
        </is>
      </c>
      <c r="B2" s="35" t="n"/>
    </row>
    <row r="3" ht="80" customHeight="1" s="33">
      <c r="A3" s="10" t="inlineStr">
        <is>
          <t>必須要件（Must）</t>
        </is>
      </c>
      <c r="B3" s="18" t="inlineStr">
        <is>
          <t>33歳以下のみ
営業・接客系経験、マネジメント経験もしくは以下のような折衝経験が必須（社外の方とコミュニケーションもあればOK）
看護師、グランドスタッフ、教員、公務員（市役所窓口など）、社外調整が必要な企画職、対社内業務のみでも品質管理などの他部署との折衝があるものであればOK
※また自衛隊、消防士などの折衝が少ない業務でも、中学～大学までで体育会系の経験が6年以上あればOK</t>
        </is>
      </c>
    </row>
    <row r="4" ht="50" customHeight="1" s="33">
      <c r="A4" s="10" t="inlineStr">
        <is>
          <t>歓迎要件（Want）</t>
        </is>
      </c>
      <c r="B4" s="18" t="inlineStr">
        <is>
          <t>・法人・個人問わず営業経験がある方</t>
        </is>
      </c>
    </row>
    <row r="5" ht="120" customHeight="1" s="33">
      <c r="A5" s="10" t="inlineStr">
        <is>
          <t>仕事内容（概要）</t>
        </is>
      </c>
      <c r="B5" s="11" t="inlineStr">
        <is>
          <t>人材派遣の法人・個人両面営業。
・法人側：クライアント企業への人的課題ヒアリング → 派遣求人条件ヒアリング → 派遣スタッフ紹介 → 職場見学の実施 → 就業後フォロー
・個人側：派遣スタッフとの面談 → マッチング → 就業中の調整
★既存顧客・新規顧客の比率は配属ユニットにより異なる（経験・適性に応じて判断）
※1日の流れ例：9:30新規TEL→10:00アポ先直行→11:30事務処理→13:30スタッフ面談→16:00職場見学→20:00退社</t>
        </is>
      </c>
      <c r="AC5" t="inlineStr">
        <is>
          <t>F</t>
        </is>
      </c>
    </row>
    <row r="6" ht="90" customHeight="1" s="33">
      <c r="A6" s="10" t="inlineStr">
        <is>
          <t>求める人物像</t>
        </is>
      </c>
      <c r="B6" s="11" t="inlineStr">
        <is>
          <t>・ひとに向き合うことが好きな方
・「ホスピタリティを活かして働きたい」
・「多様な価値観にふれることが好き」
・「自分だからこそできる価値を提供したい」
・「とにかく成長したい、成果を出したい」という思いを持つ人</t>
        </is>
      </c>
    </row>
    <row r="7" ht="90" customHeight="1" s="33">
      <c r="A7" s="10" t="inlineStr">
        <is>
          <t>ターゲット層の傾向</t>
        </is>
      </c>
      <c r="B7" s="11" t="inlineStr">
        <is>
          <t>【サービス業経験者・ホスピタリティ重視型】
・接客・販売職からのキャリアチェンジが非常に多い層
・営業未経験でも接客経験があれば応募可能
・リクルートグループのブランドと福利厚生が訴求力
・雇用形態は「契約社員（MS有期）」スタートで最長3年、無期登用選考あり
・転勤なし（転勤なし希望者向け）だが無期登用後は転勤ありになる点に注意</t>
        </is>
      </c>
    </row>
    <row r="8" ht="90" customHeight="1" s="33">
      <c r="A8" s="10" t="inlineStr">
        <is>
          <t>想定年収レンジ</t>
        </is>
      </c>
      <c r="B8" s="12" t="inlineStr">
        <is>
          <t>月給298,500円〜（固定残業40時間分76,300円含む）
想定年収：460万円〜
賞与：年2回（6月・12月）業績連動
インセンティブ：年2回追加あり
★雇用形態は契約社員（最長3年、6ヶ月更新）。試用期間なし。
※無期登用制度あり（選考あり）</t>
        </is>
      </c>
    </row>
    <row r="9" ht="100" customHeight="1" s="33">
      <c r="A9" s="10" t="inlineStr">
        <is>
          <t>NG条件・懸念点</t>
        </is>
      </c>
      <c r="B9" s="12" t="inlineStr">
        <is>
          <t>【公式NG記載なし。以下は実務上の懸念点】
・接客・販売経験ゼロはMust条件に抵触する可能性あり
・契約社員スタートのため、正社員にこだわりが強い候補者には事前説明が必要
・無期登用後は転勤あり（転勤NG候補者は要注意）
・残業月25〜35時間は発生するため、残業ゼロ希望者には合わない
・年2回のキックオフで土曜出社あり（4月・10月）
・選考にSPIあり（言語・非言語・性格検査）</t>
        </is>
      </c>
    </row>
    <row r="10" ht="120" customHeight="1" s="33">
      <c r="A10" s="10" t="inlineStr">
        <is>
          <t>エージェントメモ
（裏の評価・社風）</t>
        </is>
      </c>
      <c r="B10" s="13" t="inlineStr">
        <is>
          <t>・リクルートグループの安定感・ブランド力が強い訴求になる
・「MS（ミッションスタイル）」という成果型の制度で、GAB/GIBなどインセン制度充実
・Will-Can-Must制度で個人のキャリア希望を言語化する文化がある
・フレックス（コアタイムなし）・リモートワーク可で働き方の柔軟性はある
・接客→人材営業のキャリアチェンジとして「ひとの人生に携わる仕事」という訴求が刺さる層に向く
・女性活躍推進（えるぼし認定、女性管理職36.9%）は女性候補者への訴求になる
・NG評価ポイント：「一人で黙々とやりたい・対人が苦手」なタイプはミスマッチ</t>
        </is>
      </c>
    </row>
    <row r="11" ht="15" customHeight="1" s="33">
      <c r="A11" s="32" t="inlineStr">
        <is>
          <t>出典：求人票（株式会社リクルートスタッフィング）　※エージェントメモは求人票記載外の情報を含む</t>
        </is>
      </c>
    </row>
  </sheetData>
  <mergeCells count="3">
    <mergeCell ref="A11:B11"/>
    <mergeCell ref="A2:B2"/>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workbookViewId="0">
      <selection activeCell="X23" sqref="X23"/>
    </sheetView>
  </sheetViews>
  <sheetFormatPr baseColWidth="8" defaultRowHeight="13"/>
  <cols>
    <col width="28" customWidth="1" style="33" min="1" max="1"/>
    <col width="70" customWidth="1" style="33" min="2" max="2"/>
  </cols>
  <sheetData>
    <row r="1" ht="30" customHeight="1" s="33">
      <c r="A1" s="36" t="inlineStr">
        <is>
          <t>求人票データ｜X Mile株式会社</t>
        </is>
      </c>
      <c r="B1" s="35" t="n"/>
    </row>
    <row r="2" ht="20" customHeight="1" s="33">
      <c r="A2" s="34" t="inlineStr">
        <is>
          <t>CA（キャリアアドバイザー）／ノンデスク業界特化型人材紹介／営業経験2年以上</t>
        </is>
      </c>
      <c r="B2" s="35" t="n"/>
    </row>
    <row r="3" ht="70" customHeight="1" s="33">
      <c r="A3" s="10" t="inlineStr">
        <is>
          <t>必須要件（Must）</t>
        </is>
      </c>
      <c r="B3" s="11" t="inlineStr">
        <is>
          <t>・営業経験2年以上
・正社員としての就業経験2年以上
・PCスキル（タイピング・Word・Excel等）
※上記条件を満たさない場合も相談可</t>
        </is>
      </c>
    </row>
    <row r="4" ht="60" customHeight="1" s="33">
      <c r="A4" s="10" t="inlineStr">
        <is>
          <t>歓迎要件（Want）</t>
        </is>
      </c>
      <c r="B4" s="11" t="inlineStr">
        <is>
          <t>・新規開拓営業経験2年以上
・営業またはCAの経験1年以上</t>
        </is>
      </c>
    </row>
    <row r="5" ht="110" customHeight="1" s="33">
      <c r="A5" s="10" t="inlineStr">
        <is>
          <t>仕事内容（概要）</t>
        </is>
      </c>
      <c r="B5" s="11" t="inlineStr">
        <is>
          <t>ノンデスク業界（物流・運送・建設・製造等）特化の人材紹介CAポジション。
主な業務：
・電話・メール・SMSで1日5〜6名の転職希望者と面談
・人材を募集している企業との商談・採用コンサルティング
・求職者への電話面談・企業紹介・面接サポート・内定後フォロー
・事業開発・市場調査
★裁量権が大きく、スキルに応じて業務範囲を拡張可能
★1人立ち後は新規事業企画・業務効率化・既存売上向上にも関われる</t>
        </is>
      </c>
    </row>
    <row r="6" ht="80" customHeight="1" s="33">
      <c r="A6" s="10" t="inlineStr">
        <is>
          <t>求める人物像</t>
        </is>
      </c>
      <c r="B6" s="11" t="inlineStr">
        <is>
          <t>・CAとしてさらにステップアップしたい人
・情熱を持って何かを成し遂げようと取り組む人
・常に向上心を持ち業務効率化を図れる人
・感覚ではなく数字的根拠で話せる人
・将来的にマネージャーとして複数人をマネジメントしたい人</t>
        </is>
      </c>
    </row>
    <row r="7" ht="90" customHeight="1" s="33">
      <c r="A7" s="10" t="inlineStr">
        <is>
          <t>ターゲット層の傾向</t>
        </is>
      </c>
      <c r="B7" s="11" t="inlineStr">
        <is>
          <t>【成長ベンチャー志向・キャリアアップ型】
・人材業界経験者（CA/RA）またはそれ同等の営業経験者がターゲット
・「令和を代表するメガベンチャーを創る」というミッションへの共感が前提
・ノンデスク業界（物流・建設等）はニッチだが市場が広く競合が少ない
・マネージャー志向が強い、スピード昇進を求める候補者に向く
・近所手当（3km圏内2万円/月）など福利厚生でユニークな施策あり</t>
        </is>
      </c>
    </row>
    <row r="8" ht="80" customHeight="1" s="33">
      <c r="A8" s="10" t="inlineStr">
        <is>
          <t>想定年収レンジ</t>
        </is>
      </c>
      <c r="B8" s="12" t="inlineStr">
        <is>
          <t>420万〜700万円
CA平均年収：545万円（2023年度実績）
賞与：年2回
残業：月30時間程度
近所手当：3km圏内に在住で月2万円（東京）
子ども手当：お子様1人につき月1万円</t>
        </is>
      </c>
    </row>
    <row r="9" ht="100" customHeight="1" s="33">
      <c r="A9" s="10" t="inlineStr">
        <is>
          <t>NG条件・懸念点</t>
        </is>
      </c>
      <c r="B9" s="12" t="inlineStr">
        <is>
          <t>【公式NG記載なし。以下は実務上の懸念点】
・営業経験2年未満はMust条件に抵触（要相談とあるが通りにくい可能性あり）
・正社員経験2年未満も同様
・リファレンスチェックを行う場合があると明記あり（転職回数・在籍期間は精査される）
・ノンデスク業界専門のため、「幅広いジャンルの人材紹介をしたい」候補者には合わない
・試用期間6ヶ月あり
・スタートアップのため制度・環境の変化が大きい可能性あり</t>
        </is>
      </c>
    </row>
    <row r="10" ht="110" customHeight="1" s="33">
      <c r="A10" s="10" t="inlineStr">
        <is>
          <t>エージェントメモ
（裏の評価・社風）</t>
        </is>
      </c>
      <c r="B10" s="13" t="inlineStr">
        <is>
          <t>・物流2024年問題の追い風を受けており、成長ドライバーが明確で説明しやすい
・ドライバー候補者は15〜16時終業が多く、CA側の働き方も比較的整いやすい（残業月1時間が8割）
・「令和のメガベンチャー」を自称しており、スピード昇進・裁量重視の文化
・数字で語れる・感覚ではなくロジックで動ける人材を強く求める傾向
・「候補者の懐に入る力」「市場情報収集力」が成果のカギと自社で言及しており、実力主義の環境
・NG評価ポイント：「指示を待ちたい・安定志向・数字が苦手」なタイプはミスマッチ</t>
        </is>
      </c>
    </row>
    <row r="11" ht="15" customHeight="1" s="33">
      <c r="A11" s="32" t="inlineStr">
        <is>
          <t>出典：求人票（X Mile株式会社）　※エージェントメモは求人票記載外の情報を含む</t>
        </is>
      </c>
    </row>
  </sheetData>
  <mergeCells count="3">
    <mergeCell ref="A11:B11"/>
    <mergeCell ref="A2:B2"/>
    <mergeCell ref="A1:B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1"/>
  <sheetViews>
    <sheetView workbookViewId="0">
      <selection activeCell="X23" sqref="X23"/>
    </sheetView>
  </sheetViews>
  <sheetFormatPr baseColWidth="8" defaultRowHeight="13"/>
  <cols>
    <col width="28" customWidth="1" style="33" min="1" max="1"/>
    <col width="70" customWidth="1" style="33" min="2" max="2"/>
  </cols>
  <sheetData>
    <row r="1" ht="30" customHeight="1" s="33">
      <c r="A1" s="36" t="inlineStr">
        <is>
          <t>求人票データ｜株式会社BREXA Technology</t>
        </is>
      </c>
      <c r="B1" s="35" t="n"/>
    </row>
    <row r="2" ht="20" customHeight="1" s="33">
      <c r="A2" s="34" t="inlineStr">
        <is>
          <t>ITエンジニア（未経験歓迎）／プロ講師育成前提／SES・常駐型</t>
        </is>
      </c>
      <c r="B2" s="35" t="n"/>
    </row>
    <row r="3" ht="70" customHeight="1" s="33">
      <c r="A3" s="10" t="inlineStr">
        <is>
          <t>必須要件（Must）</t>
        </is>
      </c>
      <c r="B3" s="11" t="inlineStr">
        <is>
          <t>・経験・学歴・IT資格・知識 一切不問（完全未経験歓迎）
・第二新卒・ブランク・社会人デビューも可
・「ITエンジニアとして成長したい・長く活躍したい」という意欲と学ぶ姿勢があること</t>
        </is>
      </c>
    </row>
    <row r="4" ht="70" customHeight="1" s="33">
      <c r="A4" s="10" t="inlineStr">
        <is>
          <t>歓迎要件（Want）</t>
        </is>
      </c>
      <c r="B4" s="11" t="inlineStr">
        <is>
          <t>・ITや手に職に興味がある人
・正社員として安定した収入を得たい人
・新しいことに挑戦し前向きに成長できる人
・社会貢献を実感できる仕事で自信を持って働きたい人</t>
        </is>
      </c>
    </row>
    <row r="5" ht="130" customHeight="1" s="33">
      <c r="A5" s="10" t="inlineStr">
        <is>
          <t>仕事内容（概要）</t>
        </is>
      </c>
      <c r="B5" s="11" t="inlineStr">
        <is>
          <t>未経験からITエンジニアへ。SES（客先常駐型）のエンジニアとして育成・配属。
【入社後の流れ】
①導入研修（ビジネスマナー・社内システム・基礎プログラミング）
②グループ会社の技術育成専門会社での研修（1〜2ヶ月）：IT基礎〜資格取得
③プロジェクト配属（先輩エンジニアとのチーム制でスタート）
④独り立ち後も勉強会・リスキリング研修で継続スキルアップ
配属先例：金融機関システム運用、電力会社サーバ監視、セキュリティエンジニアなど
★アプリ・インフラどちらのキャリアも選択可能</t>
        </is>
      </c>
    </row>
    <row r="6" ht="70" customHeight="1" s="33">
      <c r="A6" s="10" t="inlineStr">
        <is>
          <t>求める人物像</t>
        </is>
      </c>
      <c r="B6" s="11" t="inlineStr">
        <is>
          <t>・ITエンジニアとして成長・長く活躍したい意欲のある人
・素直に学べる・フィードバックを吸収できる人
・前職経験問わず（保育士・看護師・自衛隊・教員など多様な前職実績あり）</t>
        </is>
      </c>
    </row>
    <row r="7" ht="90" customHeight="1" s="33">
      <c r="A7" s="10" t="inlineStr">
        <is>
          <t>ターゲット層の傾向</t>
        </is>
      </c>
      <c r="B7" s="11" t="inlineStr">
        <is>
          <t>【完全未経験・ポテンシャル重視型】
・学歴・IT知識・資格は一切不問で間口は業界最広レベル
・20代前半〜30代前半の「手に職をつけたい」層が主なターゲット
・前職が保育士・介護士・警察・自衛隊・教員など「異色の経歴」でも歓迎
・SES（常駐型）のため配属先は選べないことへの理解が必要
・グローバルグループ（世界30カ国以上・約12万名）の安定感を訴求できる</t>
        </is>
      </c>
    </row>
    <row r="8" ht="100" customHeight="1" s="33">
      <c r="A8" s="10" t="inlineStr">
        <is>
          <t>想定年収レンジ</t>
        </is>
      </c>
      <c r="B8" s="12" t="inlineStr">
        <is>
          <t>入社時：350万円〜（関東）、330万円〜（その他）
月給：215,000円〜（関東）、205,000円〜（その他）
賞与：年2回（7月・12月）
昇給：年1回（4月）
資格取得で月給1万円昇給
残業：月平均11時間（1分単位全額支給）
【年収例】27歳3年目：450万、30歳7年目：650万、35歳12年目：800万</t>
        </is>
      </c>
    </row>
    <row r="9" ht="100" customHeight="1" s="33">
      <c r="A9" s="10" t="inlineStr">
        <is>
          <t>NG条件・懸念点</t>
        </is>
      </c>
      <c r="B9" s="12" t="inlineStr">
        <is>
          <t>・SES（客先常駐型）のため配属先・プロジェクトを自分で選べない
・配属先によってはプロジェクト転勤の可能性あり（希望考慮はするが保証なし）
・入社時年収は低め（350万〜）のため、現年収が高い候補者への提示は注意
・研修中・独り立ち後も継続的なスキルアップが必要で自己学習意欲が必須
・試用期間3ヶ月あり（待遇変更なし）
・転職回数より「成長意欲・素直さ」が重視されるが、短期離職の繰り返しは懸念される可能性あり</t>
        </is>
      </c>
    </row>
    <row r="10" ht="110" customHeight="1" s="33">
      <c r="A10" s="10" t="inlineStr">
        <is>
          <t>エージェントメモ
（裏の評価・社風）</t>
        </is>
      </c>
      <c r="B10" s="13" t="inlineStr">
        <is>
          <t>・完全未経験OKの間口の広さは最大の武器。前職異色経歴でもアプローチしやすい
・研修制度が充実（資格取得支援297種類・20拠点435研修）で育成への本気度は高い
・残業月11時間・年休123日・土日祝休みはワークライフバランス訴求に使える
・「世界30カ国・12万名・売上1,777億円グループ」の安定基盤は安心感になる
・SESのため配属先が固定されないことへの納得感形成が選考前に必要
・NG評価ポイント：「特定技術の専門家になりたい・配属先を指定したい・すぐ高収入が欲しい」タイプは合わない</t>
        </is>
      </c>
    </row>
    <row r="11" ht="15" customHeight="1" s="33">
      <c r="A11" s="32" t="inlineStr">
        <is>
          <t>出典：求人票（株式会社BREXA Technology）　※エージェントメモは求人票記載外の情報を含む</t>
        </is>
      </c>
    </row>
  </sheetData>
  <mergeCells count="3">
    <mergeCell ref="A11:B11"/>
    <mergeCell ref="A2:B2"/>
    <mergeCell ref="A1:B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1"/>
  <sheetViews>
    <sheetView workbookViewId="0">
      <selection activeCell="X23" sqref="X23"/>
    </sheetView>
  </sheetViews>
  <sheetFormatPr baseColWidth="8" defaultRowHeight="13"/>
  <cols>
    <col width="28" customWidth="1" style="33" min="1" max="1"/>
    <col width="70" customWidth="1" style="33" min="2" max="2"/>
  </cols>
  <sheetData>
    <row r="1" ht="30" customHeight="1" s="33">
      <c r="A1" s="36" t="inlineStr">
        <is>
          <t>求人票データ｜株式会社ジールコミュニケーションズ</t>
        </is>
      </c>
      <c r="B1" s="35" t="n"/>
    </row>
    <row r="2" ht="20" customHeight="1" s="33">
      <c r="A2" s="34" t="inlineStr">
        <is>
          <t>【渋谷】法人営業（RA）／新卒・第二新卒特化採用支援／体育会系カルチャー</t>
        </is>
      </c>
      <c r="B2" s="35" t="n"/>
    </row>
    <row r="3" ht="70" customHeight="1" s="33">
      <c r="A3" s="10" t="inlineStr">
        <is>
          <t>必須要件（Must）</t>
        </is>
      </c>
      <c r="B3" s="11" t="inlineStr">
        <is>
          <t>・社会人経験3ヶ月以上（業種・職種不問）
・最終学歴：高校卒以上（大学院・大学・短大・専門・高専・高校）
・業界未経験・職種未経験歓迎（25卒含む）</t>
        </is>
      </c>
    </row>
    <row r="4" ht="70" customHeight="1" s="33">
      <c r="A4" s="10" t="inlineStr">
        <is>
          <t>歓迎要件（Want）</t>
        </is>
      </c>
      <c r="B4" s="11" t="inlineStr">
        <is>
          <t>・営業職・販売職の経験
・部活動・アルバイトで何かに打ち込んできた経験
・体育会系バックグラウンド（社長が元Jリーガーのため独自ネットワーク活用可）</t>
        </is>
      </c>
    </row>
    <row r="5" ht="120" customHeight="1" s="33">
      <c r="A5" s="10" t="inlineStr">
        <is>
          <t>仕事内容（概要）</t>
        </is>
      </c>
      <c r="B5" s="11" t="inlineStr">
        <is>
          <t>新卒・第二新卒特化の就職支援サービスの法人担当（RA）業務。
主な業務：
・企業へのテレフォンアポイント（最大100件/日）
・企業訪問・商談・採用コンサルティング
・採用ニーズヒアリング → 最適なサービス提案
・担当クライアント：30〜100社規模
・商談：新規5件/週（2年目目標）
・月間決定目標：4〜5件
★体育会・部活経験学生を中心に企業へ紹介する独自ネットワークが強み</t>
        </is>
      </c>
    </row>
    <row r="6" ht="80" customHeight="1" s="33">
      <c r="A6" s="10" t="inlineStr">
        <is>
          <t>求める人物像</t>
        </is>
      </c>
      <c r="B6" s="11" t="inlineStr">
        <is>
          <t>・実績を正当に評価されたい人
・評価・実績に合った報酬が欲しい人
・未経験から営業に挑戦したい人
・同世代の仲間と切磋琢磨しながら成長したい人
・前向きにチャレンジを楽しめる人</t>
        </is>
      </c>
    </row>
    <row r="7" ht="90" customHeight="1" s="33">
      <c r="A7" s="10" t="inlineStr">
        <is>
          <t>ターゲット層の傾向</t>
        </is>
      </c>
      <c r="B7" s="11" t="inlineStr">
        <is>
          <t>【体育会系・ガツガツ成果型・若手ベンチャー志向】
・社長が元Jリーガーで体育会カルチャーが強め
・平均年齢28歳と若く、同世代で切磋琢磨できる環境
・「早く役職・高収入を取りに行きたい」という動機の強い候補者に向く
・HR事業とデジタルリスク（風評被害対策）事業を持つユニークな会社
・第二新卒・未経験歓迎で間口は広い</t>
        </is>
      </c>
    </row>
    <row r="8" ht="100" customHeight="1" s="33">
      <c r="A8" s="10" t="inlineStr">
        <is>
          <t>想定年収レンジ</t>
        </is>
      </c>
      <c r="B8" s="12" t="inlineStr">
        <is>
          <t>319万〜420万円（入社時）
月給：266,000〜350,000円（固定残業45時間分含む）
インセンティブ：年4回（全体の80%に平均数十万円支給）
昇給：年1回
【モデル年収】
・2年目チーフ：480万円
・4年目サブマネージャー：720万円
※ライフプラン手当53,000円、住宅手当15,000円（最寄駅3駅以内）あり</t>
        </is>
      </c>
    </row>
    <row r="9" ht="100" customHeight="1" s="33">
      <c r="A9" s="10" t="inlineStr">
        <is>
          <t>NG条件・懸念点</t>
        </is>
      </c>
      <c r="B9" s="12" t="inlineStr">
        <is>
          <t>・固定残業45時間分込みの給与設定（業界水準として残業多め）
・テレアポ最大100件/日と行動量が求められる（ガツガツ系が前提）
・体育会カルチャーが強いため、穏やかな環境を好む候補者には合わない
・社会人経験3ヶ月〜と短くてもOKだが、超短期離職（1〜2ヶ月）は懸念される可能性あり
・非上場・中小規模（300名）のため安定志向の強い候補者には響かない場合がある
・入社直後は1日の業務の比重がほぼテレアポ</t>
        </is>
      </c>
    </row>
    <row r="10" ht="120" customHeight="1" s="33">
      <c r="A10" s="10" t="inlineStr">
        <is>
          <t>エージェントメモ
（裏の評価・社風）</t>
        </is>
      </c>
      <c r="B10" s="13" t="inlineStr">
        <is>
          <t>・元Jリーガー社長という珍しい出自でスポーツ・体育会学生のネットワークが強み
・HR×デジタルリスク（風評被害対策）の2軸事業は競合と差別化しやすい独自ポジション
・「実績＝評価」の文化で入社4ヶ月で役職就任実績もあるほど昇進スピードが速い
・年4回インセンティブで80%以上に数十万円支給は、稼ぎたい層への強い訴求になる
・平均年齢28歳で「同世代の仲間と成長」できる環境は、若手候補者への共感フックになる
・NG評価ポイント：「ゆっくりじっくり働きたい・テレアポが苦手・数字プレッシャーが嫌」なタイプは合わない</t>
        </is>
      </c>
    </row>
    <row r="11" ht="15" customHeight="1" s="33">
      <c r="A11" s="32" t="inlineStr">
        <is>
          <t>出典：求人票（株式会社ジールコミュニケーションズ）　※エージェントメモは求人票記載外の情報を含む</t>
        </is>
      </c>
    </row>
  </sheetData>
  <mergeCells count="3">
    <mergeCell ref="A11:B11"/>
    <mergeCell ref="A2:B2"/>
    <mergeCell ref="A1:B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1"/>
  <sheetViews>
    <sheetView workbookViewId="0">
      <selection activeCell="X23" sqref="X23"/>
    </sheetView>
  </sheetViews>
  <sheetFormatPr baseColWidth="8" defaultRowHeight="13"/>
  <cols>
    <col width="28" customWidth="1" style="33" min="1" max="1"/>
    <col width="70" customWidth="1" style="33" min="2" max="2"/>
  </cols>
  <sheetData>
    <row r="1" ht="30" customHeight="1" s="33">
      <c r="A1" s="36" t="inlineStr">
        <is>
          <t>求人票データ｜株式会社ウィルオブ・コンストラクション</t>
        </is>
      </c>
      <c r="B1" s="35" t="n"/>
    </row>
    <row r="2" ht="20" customHeight="1" s="33">
      <c r="A2" s="34" t="inlineStr">
        <is>
          <t>【未経験】建設現場サポート事務／東証プライム上場ウィルグループ／全国47都道府県</t>
        </is>
      </c>
      <c r="B2" s="35" t="n"/>
    </row>
    <row r="3" ht="70" customHeight="1" s="33">
      <c r="A3" s="10" t="inlineStr">
        <is>
          <t>必須要件（Must）</t>
        </is>
      </c>
      <c r="B3" s="11" t="inlineStr">
        <is>
          <t>・普通自動車免許（AT限定可）※一部免許なし可能エリアあり
・未経験者大歓迎（業種・職種不問）
・外国籍の場合：永住権または定住権を持つ方</t>
        </is>
      </c>
    </row>
    <row r="4" ht="70" customHeight="1" s="33">
      <c r="A4" s="10" t="inlineStr">
        <is>
          <t>歓迎要件（Want）</t>
        </is>
      </c>
      <c r="B4" s="11" t="inlineStr">
        <is>
          <t>・転職回数が多く次の転職に不安な方
・安定した会社で長く働きたい方
・チームで取り組むのが好きな方
・ワークライフバランスを大切にしたい方</t>
        </is>
      </c>
    </row>
    <row r="5" ht="120" customHeight="1" s="33">
      <c r="A5" s="10" t="inlineStr">
        <is>
          <t>仕事内容（概要）</t>
        </is>
      </c>
      <c r="B5" s="11" t="inlineStr">
        <is>
          <t>建設現場のプロジェクトを支える管理・事務業務。
主な業務：
・建物の写真撮影
・各種データ入力
・日報・報告書の作成
・プロジェクトのスケジュール調整
・電話・来客対応
・現場スタッフの勤務管理・指示だし
★業務の大半は写真撮影・データ入力・電話対応（事務作業中心）
★大手企業直接取引がメイン。満足度94%の研修あり。
★150以上の資格から選んで給与アップ可能（講習受講だけで数千円/月UP）</t>
        </is>
      </c>
    </row>
    <row r="6" ht="80" customHeight="1" s="33">
      <c r="A6" s="10" t="inlineStr">
        <is>
          <t>求める人物像</t>
        </is>
      </c>
      <c r="B6" s="11" t="inlineStr">
        <is>
          <t>・長く安定して働きたい人
・資格を取りながらキャリアアップしたい人
・チームで何かに取り組むのが好きな人
・将来も必要とされるスキルを身につけたい人
・転職回数が多くても歓迎（NG条件なし）</t>
        </is>
      </c>
    </row>
    <row r="7" ht="90" customHeight="1" s="33">
      <c r="A7" s="10" t="inlineStr">
        <is>
          <t>ターゲット層の傾向</t>
        </is>
      </c>
      <c r="B7" s="11" t="inlineStr">
        <is>
          <t>【安定志向・未経験歓迎・転職回数不問型】
・事務職・管理補助職を希望する幅広い層
・転職回数が多くても応募可能と明記しており、多回転職者に配慮あり
・全国47都道府県でエリア選択可（通勤限定も可）
・グループ内転籍制度ありで長期キャリアを描きやすい
・東証プライム上場のウィルグループ子会社で安定感の訴求が可能</t>
        </is>
      </c>
    </row>
    <row r="8" ht="110" customHeight="1" s="33">
      <c r="A8" s="10" t="inlineStr">
        <is>
          <t>想定年収レンジ</t>
        </is>
      </c>
      <c r="B8" s="12" t="inlineStr">
        <is>
          <t>300万〜360万円（エリアにより月給が異なる）
【関東】月給250,000〜300,000円（固定残業30時間分含む）
【中部・関西】月給240,000〜300,000円
【中四国・北海道・東北・九州】月給215,000〜300,000円
【年収イメージ】
・21歳2年目：344万円
・27歳5年目：520万円
・31歳8年目：690万円
賞与：年2回　年間休日：121日</t>
        </is>
      </c>
    </row>
    <row r="9" ht="90" customHeight="1" s="33">
      <c r="A9" s="10" t="inlineStr">
        <is>
          <t>NG条件・懸念点</t>
        </is>
      </c>
      <c r="B9" s="12" t="inlineStr">
        <is>
          <t>・普通自動車免許が必須（一部エリアを除く）→ 免許なし候補者は配属先限定
・配属プロジェクトによって転勤・勤務環境が異なる（事前確認必要）
・シフト制（週休は非定例）のため、曜日固定希望者には合わない場合あり
・退職金制度なし
・雇用形態は正社員だが業務の大半は事務作業のため、営業志向の人には物足りない可能性</t>
        </is>
      </c>
    </row>
    <row r="10" ht="120" customHeight="1" s="33">
      <c r="A10" s="10" t="inlineStr">
        <is>
          <t>エージェントメモ
（裏の評価・社風）</t>
        </is>
      </c>
      <c r="B10" s="13" t="inlineStr">
        <is>
          <t>・「転職回数が多い方も歓迎」と求人票に明記しており、多回転職者への間口が業界内でも広め
・講習受講だけで給与UP（資格手当）の制度はモチベーション訴求に使いやすい
・社宅あり（無料）はUターン・Iターン転職やコスト重視の候補者への訴求になる
・面接回数1回・最短1日内定実績あり → スピード転職希望者向け
・建設業界のため景気変動の影響は比較的受けにくい安定感がある
・グループ内転籍制度で「ウィルグループ内でのキャリアアップ」も訴求できる
・NG評価ポイント：「外での商談型営業をしたい」「IT・スタートアップ環境を求める」タイプには合わない</t>
        </is>
      </c>
    </row>
    <row r="11" ht="15" customHeight="1" s="33">
      <c r="A11" s="32" t="inlineStr">
        <is>
          <t>出典：求人票（株式会社ウィルオブ・コンストラクション）2025/05/05版　※エージェントメモは求人票記載外の情報を含む</t>
        </is>
      </c>
    </row>
  </sheetData>
  <mergeCells count="3">
    <mergeCell ref="A11:B11"/>
    <mergeCell ref="A2:B2"/>
    <mergeCell ref="A1:B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1"/>
  <sheetViews>
    <sheetView workbookViewId="0">
      <selection activeCell="X23" sqref="X23"/>
    </sheetView>
  </sheetViews>
  <sheetFormatPr baseColWidth="8" defaultRowHeight="13"/>
  <cols>
    <col width="28" customWidth="1" style="33" min="1" max="1"/>
    <col width="70" customWidth="1" style="33" min="2" max="2"/>
  </cols>
  <sheetData>
    <row r="1" ht="30" customHeight="1" s="33">
      <c r="A1" s="36" t="inlineStr">
        <is>
          <t>求人票データ｜株式会社リクルート（飲食・ビューティー領域 KS）</t>
        </is>
      </c>
      <c r="B1" s="35" t="n"/>
    </row>
    <row r="2" ht="20" customHeight="1" s="33">
      <c r="A2" s="34" t="inlineStr">
        <is>
          <t>ホットペッパービューティー企画営業職／契約社員（正社員登用制度あり）</t>
        </is>
      </c>
      <c r="B2" s="35" t="n"/>
    </row>
    <row r="3" ht="70" customHeight="1" s="33">
      <c r="A3" s="10" t="inlineStr">
        <is>
          <t>必須要件（Must）</t>
        </is>
      </c>
      <c r="B3" s="11" t="inlineStr">
        <is>
          <t>・自ら考え、自ら動くことができる方
・常に学ぶ姿勢があり、成長したい意志がある方
・カスタマーに新しい行動を生み出す「きっかけ」を創りたい方
※約6割が営業職未経験からの入社</t>
        </is>
      </c>
    </row>
    <row r="4" ht="50" customHeight="1" s="33">
      <c r="A4" s="10" t="inlineStr">
        <is>
          <t>歓迎要件（Want）</t>
        </is>
      </c>
      <c r="B4" s="11" t="inlineStr">
        <is>
          <t>・営業職や接客販売職など、顧客折衝経験を有する方</t>
        </is>
      </c>
    </row>
    <row r="5" ht="100" customHeight="1" s="33">
      <c r="A5" s="10" t="inlineStr">
        <is>
          <t>仕事内容（概要）</t>
        </is>
      </c>
      <c r="B5" s="11" t="inlineStr">
        <is>
          <t>各地域のヘアサロン・ネイルサロン・エステサロン等に対して「ホットペッパービューティー」の企画営業。
主な業務：
・新規顧客開拓（一部部署は新規のみ）
・既存顧客への提案（経営・集客・業務・採用課題の解決）
・業界動向・地域トレンドの把握と提案への活用
★自身の提案が実際の集客・売上に繋がる醍醐味あり
★美容業界・営業未経験でも先輩のFBを受けながら成長できる環境</t>
        </is>
      </c>
    </row>
    <row r="6" ht="70" customHeight="1" s="33">
      <c r="A6" s="10" t="inlineStr">
        <is>
          <t>求める人物像</t>
        </is>
      </c>
      <c r="B6" s="11" t="inlineStr">
        <is>
          <t>・自走できる人（指示を待たず自ら動く）
・学び続ける姿勢がある人
・地域のサロン・クライアントに貢献したい人
・新しい挑戦を通じて成長できる人</t>
        </is>
      </c>
    </row>
    <row r="7" ht="90" customHeight="1" s="33">
      <c r="A7" s="10" t="inlineStr">
        <is>
          <t>ターゲット層の傾向</t>
        </is>
      </c>
      <c r="B7" s="11" t="inlineStr">
        <is>
          <t>【リクルートブランド志向・自走型・成長意欲型】
・約6割が営業未経験からの入社のため間口は広い
・「リクルート」という圧倒的ブランドが候補者への訴求力になる
・契約社員スタートだが、正社員登用制度（年2回）あり
・全国30都道府県以上の拠点で地方勤務希望者にも対応
・美容業界に関心がある候補者やサロン文化が好きな人に向く</t>
        </is>
      </c>
    </row>
    <row r="8" ht="110" customHeight="1" s="33">
      <c r="A8" s="10" t="inlineStr">
        <is>
          <t>想定年収レンジ</t>
        </is>
      </c>
      <c r="B8" s="12" t="inlineStr">
        <is>
          <t>359万〜413万円（地域により異なる）
月額固定給：25.8万〜30.2万円（月35時間分の超過勤務手当含む）
賞与：25万円×年2回（6月・12月、業績連動）
【地域別年収例】
・第一地域（南関東）：413万円
・第二地域（関西/東海）：384万円
・第三地域（その他）：359万円
★雇用形態：契約社員（上限3年。終了時キャリアアップ支援金100万円支給）
★年間休日140日・フレックスタイム制</t>
        </is>
      </c>
    </row>
    <row r="9" ht="100" customHeight="1" s="33">
      <c r="A9" s="10" t="inlineStr">
        <is>
          <t>NG条件・懸念点</t>
        </is>
      </c>
      <c r="B9" s="12" t="inlineStr">
        <is>
          <t>・雇用形態は契約社員（最長3年上限）→ 正社員にこだわる候補者には事前説明必須
・同一雇用形態での再契約不可（契約満了後は正社員登用またはキャリアアップ支援金受取り退職）
・車通勤不可（公共交通機関のみ。最寄り駅までの利用も不可）
・選考にSPIあり
・ブロック内での転勤あり（ブロック外は個別同意）
・固定給の月35時間分残業手当が含まれているため、超過残業なしでも「みなし」で計上される</t>
        </is>
      </c>
    </row>
    <row r="10" ht="110" customHeight="1" s="33">
      <c r="A10" s="10" t="inlineStr">
        <is>
          <t>エージェントメモ
（裏の評価・社風）</t>
        </is>
      </c>
      <c r="B10" s="13" t="inlineStr">
        <is>
          <t>・「リクルート」ブランドは説明不要の訴求力。「リクルートで働いた経歴」が将来の転職市場でも強い
・契約満了時の「キャリアアップ支援金100万円」は他社にない制度で希少性あり
・年間休日140日はトップクラスのワークライフバランス訴求になる
・「提案が集客・売上に繋がる」醍醐味は、数字で成果を実感したい候補者に響く
・フレックスタイム制で自律的な働き方を好む候補者向き
・NG評価ポイント：「正社員としての安定を最優先にしたい」「指示通りに動きたい・自走が苦手」なタイプには合わない</t>
        </is>
      </c>
    </row>
    <row r="11" ht="15" customHeight="1" s="33">
      <c r="A11" s="32" t="inlineStr">
        <is>
          <t>出典：求人票（株式会社リクルート KS 飲食・ビューティー領域）2025/09/18版　※エージェントメモは求人票記載外の情報を含む</t>
        </is>
      </c>
    </row>
  </sheetData>
  <mergeCells count="3">
    <mergeCell ref="A11:B11"/>
    <mergeCell ref="A2:B2"/>
    <mergeCell ref="A1:B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1"/>
  <sheetViews>
    <sheetView workbookViewId="0">
      <selection activeCell="X23" sqref="X23"/>
    </sheetView>
  </sheetViews>
  <sheetFormatPr baseColWidth="8" defaultRowHeight="13"/>
  <cols>
    <col width="28" customWidth="1" style="33" min="1" max="1"/>
    <col width="70" customWidth="1" style="33" min="2" max="2"/>
  </cols>
  <sheetData>
    <row r="1" ht="30" customHeight="1" s="33">
      <c r="A1" s="36" t="inlineStr">
        <is>
          <t>求人票データ｜ソフトバンク株式会社（プライム市場）</t>
        </is>
      </c>
      <c r="B1" s="35" t="n"/>
    </row>
    <row r="2" ht="20" customHeight="1" s="33">
      <c r="A2" s="34" t="inlineStr">
        <is>
          <t>販売クルー／第二新卒歓迎／全国家電量販店・SBコーナー／契約社員→正社員登用</t>
        </is>
      </c>
      <c r="B2" s="35" t="n"/>
    </row>
    <row r="3" ht="70" customHeight="1" s="33">
      <c r="A3" s="10" t="inlineStr">
        <is>
          <t>必須要件（Must）</t>
        </is>
      </c>
      <c r="B3" s="11" t="inlineStr">
        <is>
          <t>・高卒以上
・スマホ・アプリの日常操作ができる程度のITリテラシー
・業種・職種・接客未経験OK、就業ブランクある方も歓迎
・第二新卒・社会人経験10年以上も歓迎</t>
        </is>
      </c>
    </row>
    <row r="4" ht="70" customHeight="1" s="33">
      <c r="A4" s="10" t="inlineStr">
        <is>
          <t>歓迎要件（Want）</t>
        </is>
      </c>
      <c r="B4" s="11" t="inlineStr">
        <is>
          <t>・接客経験を活かして働きたい方
・人に何かを教えることが好きな方
・ワークライフバランスを大切にしたい方
・腰を据えて長く働きたい方</t>
        </is>
      </c>
    </row>
    <row r="5" ht="110" customHeight="1" s="33">
      <c r="A5" s="10" t="inlineStr">
        <is>
          <t>仕事内容（概要）</t>
        </is>
      </c>
      <c r="B5" s="11" t="inlineStr">
        <is>
          <t>全国の家電量販店・モール内ソフトバンクコーナーでの接客・契約・イベント運営。
主な業務：
・携帯電話・スマートフォン・各種サービスの案内・販売
・新規契約・機種変更・乗り換え検討者へのご案内
・料金プラン・メリット・注意事項の説明
・購入後の使い方・アプリ提案
★入社後は4日間の入社研修 → 基礎研修 → OJT研修（先輩が横につく）
★チームで目標達成を目指すスタイル</t>
        </is>
      </c>
    </row>
    <row r="6" ht="70" customHeight="1" s="33">
      <c r="A6" s="10" t="inlineStr">
        <is>
          <t>求める人物像</t>
        </is>
      </c>
      <c r="B6" s="11" t="inlineStr">
        <is>
          <t>・仲間のクルーと協力して前向きに取り組める人
・接客経験を活かしたい人
・長く腰を据えて働きたい人
・人と話すのが好きな人</t>
        </is>
      </c>
    </row>
    <row r="7" ht="90" customHeight="1" s="33">
      <c r="A7" s="10" t="inlineStr">
        <is>
          <t>ターゲット層の傾向</t>
        </is>
      </c>
      <c r="B7" s="11" t="inlineStr">
        <is>
          <t>【接客・販売経験者・安定志向・第二新卒型】
・飲食・アパレル・保育士など対人業務経験者がターゲット
・東証プライム上場の直接雇用で安定感を強く訴求できる
・残業平均月10時間・年休123日でワークライフバランス訴求が強み
・全国47都道府県で転居を伴う転勤なし（希望勤務地を最大限考慮）
・最短1年弱での正社員登用実績あり（年2回試験）</t>
        </is>
      </c>
    </row>
    <row r="8" ht="100" customHeight="1" s="33">
      <c r="A8" s="10" t="inlineStr">
        <is>
          <t>想定年収レンジ</t>
        </is>
      </c>
      <c r="B8" s="12" t="inlineStr">
        <is>
          <t>契約社員時：310万〜400万円
正社員登用後：350万〜800万円
【月収例（東京・神奈川・千葉・埼玉）】
283,000〜310,000円（地域手当32,000円含む）
月給ベース：231,500〜256,500円
賞与：年2回（夏季・冬季）
残業代100%支給（固定残業制ではない）
★正社員になると年間標準賞与5ヶ月分（昨年度実績）</t>
        </is>
      </c>
    </row>
    <row r="9" ht="90" customHeight="1" s="33">
      <c r="A9" s="10" t="inlineStr">
        <is>
          <t>NG条件・懸念点</t>
        </is>
      </c>
      <c r="B9" s="12" t="inlineStr">
        <is>
          <t>・雇用形態は契約社員スタート（6ヶ月更新、通算上限5年）→ 正社員にこだわる候補者には正社員登用制度を説明要
・シフト制勤務（土日祝含む）のため、完全土日休み希望者には合わない
・勤務地は「現住所から片道2時間以内・直線距離50km以内」という規定あり
・試用期間なし（この点はメリット）
・通信業界は月ごとの販売目標（個人・店舗）があり、数字プレッシャーはある</t>
        </is>
      </c>
    </row>
    <row r="10" ht="110" customHeight="1" s="33">
      <c r="A10" s="10" t="inlineStr">
        <is>
          <t>エージェントメモ
（裏の評価・社風）</t>
        </is>
      </c>
      <c r="B10" s="13" t="inlineStr">
        <is>
          <t>・「東証プライム上場・ソフトバンク直接雇用」の安心感は非常に強い訴求ポイント
・残業月10時間・年休123日はオペレーション職としては高水準のWLBを訴求できる
・正社員登用試験は年2回・回数制限なし・例年約100名登用は実績として信頼感がある
・男:女＝6:4で女性も活躍しやすい環境（産休・育休実績あり）
・スマホの知識が不要でOJTが充実しているため「接客スキルは高いがIT知識はない」層でも安心
・NG評価ポイント：「土日完全休み希望・固定シフト希望・ルーティン業務が好き」なタイプには合いにくい</t>
        </is>
      </c>
    </row>
    <row r="11" ht="15" customHeight="1" s="33">
      <c r="A11" s="32" t="inlineStr">
        <is>
          <t>出典：求人票（ソフトバンク株式会社）　※エージェントメモは求人票記載外の情報を含む</t>
        </is>
      </c>
    </row>
  </sheetData>
  <mergeCells count="3">
    <mergeCell ref="A11:B11"/>
    <mergeCell ref="A2:B2"/>
    <mergeCell ref="A1:B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1"/>
  <sheetViews>
    <sheetView workbookViewId="0">
      <selection activeCell="X23" sqref="X23"/>
    </sheetView>
  </sheetViews>
  <sheetFormatPr baseColWidth="8" defaultRowHeight="13"/>
  <cols>
    <col width="28" customWidth="1" style="33" min="1" max="1"/>
    <col width="70" customWidth="1" style="33" min="2" max="2"/>
  </cols>
  <sheetData>
    <row r="1" ht="30" customHeight="1" s="33">
      <c r="A1" s="36" t="inlineStr">
        <is>
          <t>求人票データ｜レバレジーズ株式会社</t>
        </is>
      </c>
      <c r="B1" s="35" t="n"/>
    </row>
    <row r="2" ht="20" customHeight="1" s="33">
      <c r="A2" s="34" t="inlineStr">
        <is>
          <t>セールスオープンポジション／全事業部（IT・ヘルスケア・若年層・HRTech・コンサル）</t>
        </is>
      </c>
      <c r="B2" s="35" t="n"/>
    </row>
    <row r="3" ht="70" customHeight="1" s="33">
      <c r="A3" s="10" t="inlineStr">
        <is>
          <t>必須要件（Must）</t>
        </is>
      </c>
      <c r="B3" s="11" t="inlineStr">
        <is>
          <t>今年度30歳まで / 高専卒以上、3社まで、1年未満退職なし、離職期間半年未満 / 正社員として営業・販売・教員・塾講師、ITエンジニア1年以上</t>
        </is>
      </c>
    </row>
    <row r="4" ht="70" customHeight="1" s="33">
      <c r="A4" s="10" t="inlineStr">
        <is>
          <t>歓迎要件（Want）</t>
        </is>
      </c>
      <c r="B4" s="11" t="inlineStr">
        <is>
          <t>・金融業界、ブライダルプランナー等無形商材での営業経験
・リーダー・マネジメント経験
・アウトバウンド型営業経験
・相対的に高い結果を出した経験</t>
        </is>
      </c>
    </row>
    <row r="5" ht="130" customHeight="1" s="33">
      <c r="A5" s="10" t="inlineStr">
        <is>
          <t>仕事内容（概要）</t>
        </is>
      </c>
      <c r="B5" s="11" t="inlineStr">
        <is>
          <t>以下いずれかの事業部に配属（選考段階で確定）：
・レバテック：ITエンジニア特化型プラットフォーム（「日本を IT先進国に」）
・レバウェル：医療・介護のヘルスケア領域（人手不足解消）
・ハタラクティブ：主に若年層転職サービス
・HRTech事業：SaaS領域のビジネス職
・コンサルティング事業：ITコンサルファーム（DX支援）
★メンバー業務にとどまらず、マネジメントへの早期関与を期待
★社内スカウト・社内公募制度による柔軟なキャリアチェンジが可能</t>
        </is>
      </c>
    </row>
    <row r="6" ht="70" customHeight="1" s="33">
      <c r="A6" s="10" t="inlineStr">
        <is>
          <t>求める人物像</t>
        </is>
      </c>
      <c r="B6" s="11" t="inlineStr">
        <is>
          <t>・実直で、真面目に目の前の仕事にひたむきに取り組める人
・向上心が高く、様々なことに積極的に挑戦できる人
・個人目標だけでなくチームの目標にも主体的に向き合える人</t>
        </is>
      </c>
    </row>
    <row r="7" ht="90" customHeight="1" s="33">
      <c r="A7" s="10" t="inlineStr">
        <is>
          <t>ターゲット層の傾向</t>
        </is>
      </c>
      <c r="B7" s="11" t="inlineStr">
        <is>
          <t>【メガベンチャー志向・マネジメント志向・成長意欲型】
・正社員営業経験1年以上が必須のため、ある程度経験がある候補者がターゲット
・「働きがいのある会社ランキング」6年連続ベストカンパニー（大規模部門）は強い訴求材料
・IT・ヘルスケア・SaaS等の成長領域での仕事に魅力を感じる層
・年収は非公開だが、経験・能力考慮で決定される実力主義
・渋谷スクランブルスクエア本社勤務（アクセス・ブランド面での訴求あり）</t>
        </is>
      </c>
    </row>
    <row r="8" ht="90" customHeight="1" s="33">
      <c r="A8" s="10" t="inlineStr">
        <is>
          <t>想定年収レンジ</t>
        </is>
      </c>
      <c r="B8" s="12" t="inlineStr">
        <is>
          <t>非公開（経験・能力を考慮の上決定）
★会社規模：年商1,200億円・19年連続黒字経営のメガベンチャー
★創業以来黒字を継続
★年間休日121日以上（土日祝・夏季・年末年始）
★ご近所手当：会社から2駅圏内・東京23区内拠点勤務者に月2万円支給
確定拠出年金・資格取得支援・オンライン英会話無料・ビジネス雑誌読み放題 等</t>
        </is>
      </c>
    </row>
    <row r="9" ht="90" customHeight="1" s="33">
      <c r="A9" s="10" t="inlineStr">
        <is>
          <t>NG条件・懸念点</t>
        </is>
      </c>
      <c r="B9" s="12" t="inlineStr">
        <is>
          <t>・大卒以上必須（学歴条件あり）
・正社員営業経験1年以上が必須（アルバイト・派遣等は不可の可能性）
・配属事業部は選考段階で確定するため、希望事業部に必ずしも配属されるとは限らない
・年収が非公開のため、候補者への提示前に確認が必要
・フレックスなし（9:00〜18:00固定）
・転職回数よりも「ひたむきさ・成果コミット」が重視されるが、短期離職の繰り返しは懸念可能性あり</t>
        </is>
      </c>
    </row>
    <row r="10" ht="110" customHeight="1" s="33">
      <c r="A10" s="10" t="inlineStr">
        <is>
          <t>エージェントメモ
（裏の評価・社風）</t>
        </is>
      </c>
      <c r="B10" s="13" t="inlineStr">
        <is>
          <t>・「19年連続黒字・年商1,200億円」という財務安定性は候補者への安心感として強く訴求できる
・「働きがいのある会社」6年連続は、女性・若手部門でも1位実績あり。働く環境の訴求力が高い
・IT/ヘルスケア/SaaS/コンサルと成長業界での複数事業部を一社で経験できる希少性がある
・社内スカウト・社内公募・キャリアパス多様性は「一つの会社でキャリアの幅を広げたい人」に刺さる
・レバカフェ制度（飲食物無料）・ご近所手当など「細かい福利厚生」の充実も訴求ポイント
・NG評価ポイント：「安定志向でのんびり働きたい」「マネジメントに興味がない」タイプは合いにくい</t>
        </is>
      </c>
    </row>
    <row r="11" ht="15" customHeight="1" s="33">
      <c r="A11" s="32" t="inlineStr">
        <is>
          <t>出典：求人票（レバレジーズ株式会社）　※エージェントメモは求人票記載外の情報を含む</t>
        </is>
      </c>
    </row>
  </sheetData>
  <mergeCells count="3">
    <mergeCell ref="A11:B11"/>
    <mergeCell ref="A2:B2"/>
    <mergeCell ref="A1:B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1"/>
  <sheetViews>
    <sheetView workbookViewId="0">
      <selection activeCell="X23" sqref="X23"/>
    </sheetView>
  </sheetViews>
  <sheetFormatPr baseColWidth="8" defaultRowHeight="13"/>
  <cols>
    <col width="28" customWidth="1" style="33" min="1" max="1"/>
    <col width="70" customWidth="1" style="33" min="2" max="2"/>
  </cols>
  <sheetData>
    <row r="1" ht="30" customHeight="1" s="33">
      <c r="A1" s="36" t="inlineStr">
        <is>
          <t>求人票データ｜大東建託株式会社（プライム市場）</t>
        </is>
      </c>
      <c r="B1" s="35" t="n"/>
    </row>
    <row r="2" ht="20" customHeight="1" s="33">
      <c r="A2" s="34" t="inlineStr">
        <is>
          <t>営業職／土地活用・建物賃貸事業提案／歩合制・平均年収850万円</t>
        </is>
      </c>
      <c r="B2" s="35" t="n"/>
    </row>
    <row r="3" ht="60" customHeight="1" s="33">
      <c r="A3" s="10" t="inlineStr">
        <is>
          <t>必須要件（Must）</t>
        </is>
      </c>
      <c r="B3" s="11" t="inlineStr">
        <is>
          <t>・高卒以上
・普通自動車免許（社有車貸与）
・業界・営業未経験OK（9割が未経験スタート）</t>
        </is>
      </c>
    </row>
    <row r="4" ht="60" customHeight="1" s="33">
      <c r="A4" s="10" t="inlineStr">
        <is>
          <t>歓迎要件（Want）</t>
        </is>
      </c>
      <c r="B4" s="11" t="inlineStr">
        <is>
          <t>・飲食・アパレル・美容師など人と接する仕事の経験者
・自分の力を試したい・チャレンジしたい人
・頑張りに対して正当な報酬を得たい人</t>
        </is>
      </c>
    </row>
    <row r="5" ht="110" customHeight="1" s="33">
      <c r="A5" s="10" t="inlineStr">
        <is>
          <t>仕事内容（概要）</t>
        </is>
      </c>
      <c r="B5" s="11" t="inlineStr">
        <is>
          <t>土地を持っている地主への訪問営業。土地の有効活用（建物賃貸事業）を提案。
主な流れ：
①訪問（複数回。家族と関係構築しながら距離を縮める）
②商談（必ず上司同席。難しい説明は上司が担当）
③契約（成約で高額インセンティブ）
★純粋なフルコミッション型。訪問数を増やすほど高報酬に近づく仕組み
★3ヶ月間の研修あり（未経験でも一人前になるまでサポート）
★入社後6ヶ月間はメンター制度あり</t>
        </is>
      </c>
    </row>
    <row r="6" ht="80" customHeight="1" s="33">
      <c r="A6" s="10" t="inlineStr">
        <is>
          <t>求める人物像</t>
        </is>
      </c>
      <c r="B6" s="11" t="inlineStr">
        <is>
          <t>・地道な努力ができる人（コツコツと関係構築できる人）
・誠実さを持って人と向き合える人
・高い報酬と引き換えに行動量にコミットできる人
・自分の力を試したい・再スタートしたい人</t>
        </is>
      </c>
    </row>
    <row r="7" ht="90" customHeight="1" s="33">
      <c r="A7" s="10" t="inlineStr">
        <is>
          <t>ターゲット層の傾向</t>
        </is>
      </c>
      <c r="B7" s="11" t="inlineStr">
        <is>
          <t>【高収入志向・体力自信あり・行動量コミット型】
・「稼ぎたい・頑張りを収入に直結させたい」動機が強い候補者に向く
・対人折衝が得意で行動量を出せる人（飲食・接客・サービス業経験者が多数活躍）
・完全未経験（9割）でも活躍できる研修体制
・社有車貸与・車通勤OKで地方勤務者も対応可
・転勤は原則なし（管理職は転勤あり）</t>
        </is>
      </c>
    </row>
    <row r="8" ht="110" customHeight="1" s="33">
      <c r="A8" s="10" t="inlineStr">
        <is>
          <t>想定年収レンジ</t>
        </is>
      </c>
      <c r="B8" s="12" t="inlineStr">
        <is>
          <t>初年度：700万円（目安）
月給：267,000円以上（固定残業35時間分・特別加算手当3万円/1年限定含む）
＋歩合給（全国平均契約金額9,000万円で歩合135万〜225万/件）
＋賞与（年2回・業績連動）
★平均年収：850万円（全従業員8,939名/2020年3月時点）
★年収例：1年目700万→2年目1,300万→3年目2,300万
★新人賞（入社7ヶ月以内：1件50万円）
残業平均月38時間・年間休日125日</t>
        </is>
      </c>
    </row>
    <row r="9" ht="100" customHeight="1" s="33">
      <c r="A9" s="10" t="inlineStr">
        <is>
          <t>NG条件・懸念点</t>
        </is>
      </c>
      <c r="B9" s="12" t="inlineStr">
        <is>
          <t>・普通自動車免許が必須
・歩合制のため、成果がなければ収入は月給ベースのみ（入社初期は収入が不安定）
・月38時間の平均残業（固定35時間分の残業代は含まれているが超過も多い）
・土地オーナーへの訪問営業のため「飛込み・繰り返し訪問」が前提。精神的タフさが必要
・商談には上司が必ず同席する文化のため、自立した営業スタイルを好む人には合わない可能性
・管理職になると転勤あり
・業績不振年度は賞与が下振れする可能性あり</t>
        </is>
      </c>
    </row>
    <row r="10" ht="120" customHeight="1" s="33">
      <c r="A10" s="10" t="inlineStr">
        <is>
          <t>エージェントメモ
（裏の評価・社風）</t>
        </is>
      </c>
      <c r="B10" s="13" t="inlineStr">
        <is>
          <t>・「平均年収850万円・3年目で2,000万円超」のインパクトは稼ぎたい候補者への強烈な訴求ポイント
・東証プライム上場の大手企業でありながら歩合制という珍しい組み合わせ
・訪問営業主体のため「外に出てどんどん動きたい」タイプが向く
・商談上司同席は「未経験者の安心感」と捉えられるが、経験者には「裁量がない」と感じられる場合も
・自社物件入居制度（家賃補助・引越し祝い金）はUIターン候補者への訴求になる
・「地道に関係構築できる誠実な人」という採用軸は、元飲食・接客・美容師の人材が多い
・NG評価ポイント：「内勤希望・安定ベース給を求める・飛込み営業が苦手」なタイプは合わない</t>
        </is>
      </c>
    </row>
    <row r="11" ht="15" customHeight="1" s="33">
      <c r="A11" s="32" t="inlineStr">
        <is>
          <t>出典：求人票（大東建託株式会社）　※エージェントメモは求人票記載外の情報を含む</t>
        </is>
      </c>
    </row>
  </sheetData>
  <mergeCells count="3">
    <mergeCell ref="A11:B11"/>
    <mergeCell ref="A2:B2"/>
    <mergeCell ref="A1:B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1"/>
  <sheetViews>
    <sheetView workbookViewId="0">
      <selection activeCell="X23" sqref="X23"/>
    </sheetView>
  </sheetViews>
  <sheetFormatPr baseColWidth="8" defaultRowHeight="13"/>
  <cols>
    <col width="28" customWidth="1" style="33" min="1" max="1"/>
    <col width="70" customWidth="1" style="33" min="2" max="2"/>
  </cols>
  <sheetData>
    <row r="1" ht="30" customHeight="1" s="33">
      <c r="A1" s="36" t="inlineStr">
        <is>
          <t>求人票データ｜株式会社リクルート_SUUMOカウンター領域</t>
        </is>
      </c>
      <c r="B1" s="35" t="n"/>
    </row>
    <row r="2" ht="20" customHeight="1" s="33">
      <c r="A2" s="34" t="inlineStr">
        <is>
          <t>【住宅領域】スーモカウンター住宅アドバイザー/カウンター社員</t>
        </is>
      </c>
      <c r="B2" s="35" t="n"/>
    </row>
    <row r="3" ht="80" customHeight="1" s="33">
      <c r="A3" s="10" t="inlineStr">
        <is>
          <t>必須要件（Must）</t>
        </is>
      </c>
      <c r="B3" s="11" t="inlineStr">
        <is>
          <t>・会話のキャッチボールが的確にできる方
・他者に対する貢献にやりがいや喜びを感じられる方
・周囲と協力しながら、チームで仕事に取り組む姿勢のある方
・周囲からのアドバイスを素直に受け止め改善することができる方
・分からないことや不安なことを自己開示し周囲を頼ることができる方
※住宅業界知識不問（メンバーの8割が未経験入社）</t>
        </is>
      </c>
    </row>
    <row r="4" ht="80" customHeight="1" s="33">
      <c r="A4" s="10" t="inlineStr">
        <is>
          <t>歓迎要件（Want）</t>
        </is>
      </c>
      <c r="B4" s="11" t="inlineStr">
        <is>
          <t>・相手の表情や言葉の背景など意図をくみ取ろうとすることができる方
・目標に対して最後まで努力できる方
・自身の成長に向けて自ら主体的にPDCAを回せる方</t>
        </is>
      </c>
    </row>
    <row r="5" ht="80" customHeight="1" s="33">
      <c r="A5" s="10" t="inlineStr">
        <is>
          <t>仕事内容（概要）</t>
        </is>
      </c>
      <c r="B5" s="11" t="inlineStr">
        <is>
          <t>スーモカウンターは、注文住宅や新築マンションの購入相談を受け、ご要望を整理しながらカスタマーへ中立的な立場で建築会社や新築マンションをご紹介するサービス。
住宅アドバイザーはカスタマーとクライアントの架け橋となるポジション。
①予約受付（カスタマー自ら来店予約）
②接客（理想の住まいをヒアリング・予算提案・会社紹介）
③フォロー（カスタマー・クライアント間のコミュニケーション調整）
④ご成約（不成約の場合はクライアントへ理由開示・課題解決支援）
残業月平均25時間。土日祝が主な稼働日。</t>
        </is>
      </c>
    </row>
    <row r="6" ht="80" customHeight="1" s="33">
      <c r="A6" s="10" t="inlineStr">
        <is>
          <t>求める人物像</t>
        </is>
      </c>
      <c r="B6" s="11" t="inlineStr">
        <is>
          <t>・成果で評価されたい・数字にコミットできる人ではなく、カスタマーに寄り添いたい人
・チームで協力する風土に馴染める人
・未経験から住宅業界を学びたい人
・長期的なキャリア形成を見据えている人（育休・時短制度充実）</t>
        </is>
      </c>
    </row>
    <row r="7" ht="80" customHeight="1" s="33">
      <c r="A7" s="10" t="inlineStr">
        <is>
          <t>ターゲット層の傾向</t>
        </is>
      </c>
      <c r="B7" s="11" t="inlineStr">
        <is>
          <t>【対人支援型・安定志向型】
・接客・サービス業出身者に親和性が高い
・住宅業界未経験でも知識習得意欲がある人材
・チームワーク重視・称賛文化に共感する人
・子育て中・ライフイベントを見据えた働き方を希望する層にも訴求可</t>
        </is>
      </c>
    </row>
    <row r="8" ht="80" customHeight="1" s="33">
      <c r="A8" s="10" t="inlineStr">
        <is>
          <t>想定年収レンジ</t>
        </is>
      </c>
      <c r="B8" s="12" t="inlineStr">
        <is>
          <t>344万円〜（試用期間中は月給249,453円）
月給258,500円（基本給200,129円＋職務手当58,371円）
固定残業代：35時間分含む（超過分は別途支給）
賞与：年2回（6月・12月）
昇給：年2回査定
年間休日145日（週休2日・平日休み多め・有給15日入社日付与）</t>
        </is>
      </c>
    </row>
    <row r="9" ht="100" customHeight="1" s="33">
      <c r="A9" s="10" t="inlineStr">
        <is>
          <t>NG条件・懸念点</t>
        </is>
      </c>
      <c r="B9" s="12" t="inlineStr">
        <is>
          <t>【公式NG記載なし。以下は実務上の懸念点】
・土日祝がメイン勤務のため、土日休み希望者は注意
・試用期間6か月（給与やや低め設定）
・固定残業35時間込みのため実質時給は確認要
・個人ノルマなしだが、店舗全体の目標は存在する
・勤務地は全国（希望考慮はあるが転勤可能性あり）</t>
        </is>
      </c>
    </row>
    <row r="10" ht="120" customHeight="1" s="33">
      <c r="A10" s="10" t="inlineStr">
        <is>
          <t>エージェントメモ
（裏の評価・社風）</t>
        </is>
      </c>
      <c r="B10" s="13" t="inlineStr">
        <is>
          <t>・リクルートブランドと「完全反響型」はフックになりやすい
・個人ノルマなし・チーム表彰制度はプレッシャーが苦手な層への訴求ポイント
・育休・時短・ライフイベント対応の充実度は業界トップクラス
・接客型の経験（飲食・アパレル・旅行など）からの転職と相性が良い
・「住宅アドバイザー＝営業」という認識がないと入社後ギャップになりやすい
・年収レンジはやや低め。成果主義で大きく上げるというより安定型</t>
        </is>
      </c>
    </row>
    <row r="11" ht="15" customHeight="1" s="33">
      <c r="A11" s="32" t="inlineStr">
        <is>
          <t>出典：求人票（株式会社リクルート_SUUMOカウンター領域）　※エージェントメモは求人票記載外の情報を含む</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1"/>
  <sheetViews>
    <sheetView workbookViewId="0">
      <selection activeCell="X23" sqref="X23"/>
    </sheetView>
  </sheetViews>
  <sheetFormatPr baseColWidth="8" defaultRowHeight="13"/>
  <cols>
    <col width="28" customWidth="1" style="33" min="1" max="1"/>
    <col width="70" customWidth="1" style="33" min="2" max="2"/>
  </cols>
  <sheetData>
    <row r="1" ht="30" customHeight="1" s="33">
      <c r="A1" s="36" t="inlineStr">
        <is>
          <t>求人票データ｜株式会社エス・エム・エス</t>
        </is>
      </c>
      <c r="B1" s="35" t="n"/>
    </row>
    <row r="2" ht="20" customHeight="1" s="33">
      <c r="A2" s="34" t="inlineStr">
        <is>
          <t>関東圏_キャリアパートナー</t>
        </is>
      </c>
      <c r="B2" s="35" t="n"/>
    </row>
    <row r="3" ht="80" customHeight="1" s="33">
      <c r="A3" s="10" t="inlineStr">
        <is>
          <t>必須要件（Must）</t>
        </is>
      </c>
      <c r="B3" s="11" t="inlineStr">
        <is>
          <t>正社員経験1年以上 / 営業・販売職・教員・公務員（役所仕事OK、消防士不可）1年以上 ※上記なくとも偏差値55以上の学歴やポテンシャルで書類通過あり</t>
        </is>
      </c>
    </row>
    <row r="4" ht="80" customHeight="1" s="33">
      <c r="A4" s="10" t="inlineStr">
        <is>
          <t>歓迎要件（Want）</t>
        </is>
      </c>
      <c r="B4" s="11" t="inlineStr">
        <is>
          <t>・医療・介護・福祉業界への関心・社会貢献意識が高い方
・高速PDCAを回せる方、時間管理が得意な方
・チームで切磋琢磨しながら成長したい方</t>
        </is>
      </c>
    </row>
    <row r="5" ht="80" customHeight="1" s="33">
      <c r="A5" s="10" t="inlineStr">
        <is>
          <t>仕事内容（概要）</t>
        </is>
      </c>
      <c r="B5" s="11" t="inlineStr">
        <is>
          <t>医療・介護・福祉業界における転職・採用支援のマッチング業務（両面型）。
求職者（看護師・介護職・ケアマネ・リハビリ職・栄養士・保育士等）と事業所（病院・介護施設・保育園等）の双方を1名のキャリアパートナーが担当。
1日平均3名の新規求職者対応、月50〜60名担当。月個人目標300〜400万円（決定4〜5名）。
基本は非対面型（電話・メール・LINE・WEB面接ツール）。面接同行・訪問も実施。
勤務地：東京都港区芝公園（住友不動産芝公園タワー）</t>
        </is>
      </c>
    </row>
    <row r="6" ht="80" customHeight="1" s="33">
      <c r="A6" s="10" t="inlineStr">
        <is>
          <t>求める人物像</t>
        </is>
      </c>
      <c r="B6" s="11" t="inlineStr">
        <is>
          <t>・誠実さを大切にし、社会課題の解決に貢献したい人
・実力主義・透明性の高い評価制度のもとで成果を出したい人
・早期にチームリーダー・マネージャーを目指したい人
・メリハリある働き方（土日休・20:30完全退社）を望む人</t>
        </is>
      </c>
    </row>
    <row r="7" ht="80" customHeight="1" s="33">
      <c r="A7" s="10" t="inlineStr">
        <is>
          <t>ターゲット層の傾向</t>
        </is>
      </c>
      <c r="B7" s="11" t="inlineStr">
        <is>
          <t>【社会貢献型・成長意欲型】
・医療・福祉への関心があり、人の役に立つ仕事をしたい層
・人材業界・営業職経験者との親和性が高い
・目標数字にコミットでき、成長スピードを求める20代〜30代前半
・土日休み・残業少なめを望むワークライフバランス重視層にも訴求可</t>
        </is>
      </c>
    </row>
    <row r="8" ht="80" customHeight="1" s="33">
      <c r="A8" s="10" t="inlineStr">
        <is>
          <t>想定年収レンジ</t>
        </is>
      </c>
      <c r="B8" s="12" t="inlineStr">
        <is>
          <t>360万円〜640万円（関東圏：3,608,464円〜6,408,076円）
原則、現年収同等以上のオファーを想定
競合企業出身者はさらに上乗せオファーの場合あり
賞与：年2回　給与査定：年2回
持株会制度（拠出額に対し10%会社補助）あり
年間休日121日（土日休・有給入社時付与）</t>
        </is>
      </c>
    </row>
    <row r="9" ht="100" customHeight="1" s="33">
      <c r="A9" s="10" t="inlineStr">
        <is>
          <t>NG条件・懸念点</t>
        </is>
      </c>
      <c r="B9" s="12" t="inlineStr">
        <is>
          <t>【公式NG記載なし。以下は実務上の懸念点】
・月個人目標300〜400万円はプレッシャーが強め
・20:30完全退社としているが18時以降が求職者との連絡ピーク帯のため残業が発生しやすい
・両面型のため業務量が多く、慣れるまでの立ち上がり負荷あり
・医療・介護業界の専門知識習得が必要（未経験は研修あり）</t>
        </is>
      </c>
    </row>
    <row r="10" ht="120" customHeight="1" s="33">
      <c r="A10" s="10" t="inlineStr">
        <is>
          <t>エージェントメモ
（裏の評価・社風）</t>
        </is>
      </c>
      <c r="B10" s="13" t="inlineStr">
        <is>
          <t>・19期連続増収増益・医療介護人材市場の成長性はフックになりやすい
・「誠実さ」を企業文化の核に置いており、体育会系の押し付け文化とは異なる
・早期昇格実績（1年以内TL・2〜3年でマネージャー）は成長意欲層への訴求ポイント
・土日休み・完全退社徹底は人材業界の中では働き方整備が進んでいる方
・社会貢献性の高さと実力主義評価の両立訴求が刺さる層に強い
・「目標数字が苦手」な候補者には向かない。面談で早めに確認が必要</t>
        </is>
      </c>
    </row>
    <row r="11" ht="15" customHeight="1" s="33">
      <c r="A11" s="32" t="inlineStr">
        <is>
          <t>出典：求人票（株式会社エス・エム・エス）　※エージェントメモは求人票記載外の情報を含む</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1"/>
  <sheetViews>
    <sheetView workbookViewId="0">
      <selection activeCell="X23" sqref="X23"/>
    </sheetView>
  </sheetViews>
  <sheetFormatPr baseColWidth="8" defaultRowHeight="13"/>
  <cols>
    <col width="28" customWidth="1" style="33" min="1" max="1"/>
    <col width="70" customWidth="1" style="33" min="2" max="2"/>
  </cols>
  <sheetData>
    <row r="1" ht="30" customHeight="1" s="33">
      <c r="A1" s="36" t="inlineStr">
        <is>
          <t>求人票データ｜ほけんの窓口グループ</t>
        </is>
      </c>
      <c r="B1" s="35" t="n"/>
    </row>
    <row r="2" ht="20" customHeight="1" s="33">
      <c r="A2" s="34" t="inlineStr">
        <is>
          <t>ライフパートナー（店頭営業職）※直営店舗〜業界最大手の保険代理店〜</t>
        </is>
      </c>
      <c r="B2" s="35" t="n"/>
    </row>
    <row r="3" ht="80" customHeight="1" s="33">
      <c r="A3" s="10" t="inlineStr">
        <is>
          <t>必須要件（Must）</t>
        </is>
      </c>
      <c r="B3" s="11" t="inlineStr">
        <is>
          <t>・営業・接客経験が1年以上ある方
※金融経験者・未経験者（人材多様化推進）も歓迎</t>
        </is>
      </c>
    </row>
    <row r="4" ht="80" customHeight="1" s="33">
      <c r="A4" s="10" t="inlineStr">
        <is>
          <t>歓迎要件（Want）</t>
        </is>
      </c>
      <c r="B4" s="11" t="inlineStr">
        <is>
          <t>・お客さまのお役に立てる仕事がしたい方
・地域に根付いて活躍したい方
・専門知識を身につけキャリアアップしたい方
・ワークライフバランスを実現させたい方
・金融経験を活かして活躍したい方</t>
        </is>
      </c>
    </row>
    <row r="5" ht="80" customHeight="1" s="33">
      <c r="A5" s="10" t="inlineStr">
        <is>
          <t>仕事内容（概要）</t>
        </is>
      </c>
      <c r="B5" s="11" t="inlineStr">
        <is>
          <t>100%反響営業（来店型）。新規開拓なし。
40社以上の保険商品から中立的に比較・提案するライフパートナー職。
①ご意向の整理（不安・ライフプランヒアリング）
②保険選びの情報提供（シミュレーション作成）
③40社以上の保険商品から比較検討
④ご意向再確認・申し込み手続き
⑤アフターフォロー
個人ノルマなし。チームでお客さまをサポート。
残業月平均約9時間。全国直営店舗（初期配属は希望地域・居住地から90分以内）</t>
        </is>
      </c>
    </row>
    <row r="6" ht="80" customHeight="1" s="33">
      <c r="A6" s="10" t="inlineStr">
        <is>
          <t>求める人物像</t>
        </is>
      </c>
      <c r="B6" s="11" t="inlineStr">
        <is>
          <t>・お客さまに寄り添い、本当のためになることをしたい人
・地域密着で長く活躍したい人
・金融・保険の専門知識を持ちキャリアアップしたい人
・プライベートと仕事を両立させたい人（育休・時短制度充実）</t>
        </is>
      </c>
    </row>
    <row r="7" ht="80" customHeight="1" s="33">
      <c r="A7" s="10" t="inlineStr">
        <is>
          <t>ターゲット層の傾向</t>
        </is>
      </c>
      <c r="B7" s="11" t="inlineStr">
        <is>
          <t>【対人支援型・安定志向型・地域密着型】
・接客・販売・金融業界出身者との親和性が高い
・保険・金融の専門性を身につけたい転職者
・ノルマなし・反響型・チームワーク重視の職場環境を求める層
・U・Iターン希望者や地元で長く働きたい層にも訴求可</t>
        </is>
      </c>
    </row>
    <row r="8" ht="80" customHeight="1" s="33">
      <c r="A8" s="10" t="inlineStr">
        <is>
          <t>想定年収レンジ</t>
        </is>
      </c>
      <c r="B8" s="12" t="inlineStr">
        <is>
          <t>月給24.3万円〜36.8万円（基本給＋ライフプラン手当）
賞与：年2回（9月・3月）
昇給：年1回
試用期間：2ヶ月
通勤手当（上限なし）・資格取得一時金制度あり
転居を伴う配属の場合：社宅家賃会社負担・転居手当・赴任一時金あり
年間休日123日（月9〜11日シフト制・有給1時間単位取得可）</t>
        </is>
      </c>
    </row>
    <row r="9" ht="100" customHeight="1" s="33">
      <c r="A9" s="10" t="inlineStr">
        <is>
          <t>NG条件・懸念点</t>
        </is>
      </c>
      <c r="B9" s="12" t="inlineStr">
        <is>
          <t>【公式NG記載なし。以下は実務上の懸念点】
・シフト制勤務のため土日休み希望者は注意（平日休みあり）
・勤務時間が店舗により異なる（ショッピングセンター店は9:30〜21:00のシフト制）
・選考プロセスが4段階（書類→WEB面接→適性検査・記述試験→最終面接・筆記試験）と多め
・転勤の可能性あり（希望考慮はされる）
・保険商品の専門知識習得が必要（未経験は約2か月の研修あり）</t>
        </is>
      </c>
    </row>
    <row r="10" ht="120" customHeight="1" s="33">
      <c r="A10" s="10" t="inlineStr">
        <is>
          <t>エージェントメモ
（裏の評価・社風）</t>
        </is>
      </c>
      <c r="B10" s="13" t="inlineStr">
        <is>
          <t>・業界最大手・40社以上の中立提案という安心感はフックになりやすい
・「100%反響型・個人ノルマなし」はプレッシャーが苦手な候補者への強い訴求ポイント
・月平均残業9時間・育休時短充実は働き方重視層に刺さる
・金融・銀行・保険出身者には専門性を活かせる点で親和性が高い
・「保険＝ノルマ・押し売り」イメージを持つ候補者には、来店型・中立提案の違いを丁寧に説明する必要あり
・選考ステップが多いため、候補者の選考離脱リスクを早めにケアすること</t>
        </is>
      </c>
    </row>
    <row r="11" ht="15" customHeight="1" s="33">
      <c r="A11" s="32" t="inlineStr">
        <is>
          <t>出典：求人票（ほけんの窓口グループ）　※エージェントメモは求人票記載外の情報を含む</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1"/>
  <sheetViews>
    <sheetView workbookViewId="0">
      <selection activeCell="X23" sqref="X23"/>
    </sheetView>
  </sheetViews>
  <sheetFormatPr baseColWidth="8" defaultRowHeight="13"/>
  <cols>
    <col width="28" customWidth="1" style="33" min="1" max="1"/>
    <col width="70" customWidth="1" style="33" min="2" max="2"/>
  </cols>
  <sheetData>
    <row r="1" ht="30" customHeight="1" s="33">
      <c r="A1" s="36" t="inlineStr">
        <is>
          <t>求人票データ｜株式会社IDOM</t>
        </is>
      </c>
      <c r="B1" s="35" t="n"/>
    </row>
    <row r="2" ht="20" customHeight="1" s="33">
      <c r="A2" s="34" t="inlineStr">
        <is>
          <t>【全国】営業職 ～反響営業／インセンティブ制度／社宅制度充実／東証プライム上場～</t>
        </is>
      </c>
      <c r="B2" s="35" t="n"/>
    </row>
    <row r="3" ht="80" customHeight="1" s="33">
      <c r="A3" s="10" t="inlineStr">
        <is>
          <t>必須要件（Must）</t>
        </is>
      </c>
      <c r="B3" s="11" t="inlineStr">
        <is>
          <t>・未経験者歓迎
・普通自動車免許必須
※中途入社者の80%が業界未経験、60%が営業未経験からスタート
※学歴不問（大学院卒〜高卒まで）</t>
        </is>
      </c>
    </row>
    <row r="4" ht="80" customHeight="1" s="33">
      <c r="A4" s="10" t="inlineStr">
        <is>
          <t>歓迎要件（Want）</t>
        </is>
      </c>
      <c r="B4" s="11" t="inlineStr">
        <is>
          <t>・現状に満足せず新しいことに挑戦したい方
・自分の成長を促したい方
・インセンティブ制度のもとで稼ぎたい方
・全国転勤可能な方（ナショナル社員）または地元密着で働きたい方（ホーム社員）</t>
        </is>
      </c>
    </row>
    <row r="5" ht="80" customHeight="1" s="33">
      <c r="A5" s="10" t="inlineStr">
        <is>
          <t>仕事内容（概要）</t>
        </is>
      </c>
      <c r="B5" s="11" t="inlineStr">
        <is>
          <t>クルマの購入・売却を目的に来店したお客様への販売・買取・査定業務。
■クルマの販売：在庫共有システム「ドルフィネット」を活用し、顧客要望に合った車を提案。
■クルマの買取・査定：査定システム「カンタン査定表」に基づき適正金額を提示・交渉。
入社後2週間の研修プログラムあり（ビジネスマナー〜IT システム操作まで）。
勤務時間：10:00〜20:00（シフト制・実働8時間）。年間休日120日・完全週休2日制。</t>
        </is>
      </c>
    </row>
    <row r="6" ht="80" customHeight="1" s="33">
      <c r="A6" s="10" t="inlineStr">
        <is>
          <t>求める人物像</t>
        </is>
      </c>
      <c r="B6" s="11" t="inlineStr">
        <is>
          <t>・「挑む（IDOM）」の姿勢で現状打破に積極的な人
・インセンティブで成果を収入に直結させたい人
・全国展開のインフラを活かしたキャリアを描ける人
・車が好き・接客が好きな人（業界知識は入社後習得可）</t>
        </is>
      </c>
    </row>
    <row r="7" ht="80" customHeight="1" s="33">
      <c r="A7" s="10" t="inlineStr">
        <is>
          <t>ターゲット層の傾向</t>
        </is>
      </c>
      <c r="B7" s="11" t="inlineStr">
        <is>
          <t>【成果主義型・ポテンシャル重視型】
・飲食・アパレル・サービス業出身者との親和性が高い
・業界・営業ともに未経験からスタートできる間口の広さ
・社宅・引越費用全額負担は地方出身者・転勤可能な人材への訴求ポイント
・インセンティブ最大140万円（4か月ごと）は稼ぎたい層に強く刺さる</t>
        </is>
      </c>
    </row>
    <row r="8" ht="80" customHeight="1" s="33">
      <c r="A8" s="10" t="inlineStr">
        <is>
          <t>想定年収レンジ</t>
        </is>
      </c>
      <c r="B8" s="12" t="inlineStr">
        <is>
          <t>入社時：年収405万円〜
セールスリーダー：585万円〜
店長昇格：645万円〜
月給23万〜35万円＋インセンティブ（固定残業20時間分4.5万円〜含む）
賞与：年2回
社宅制度：家賃補助（居住1〜2年目50%、3年目35%、以降逓減）
引越費用全額会社負担・敷金礼金会社負担</t>
        </is>
      </c>
    </row>
    <row r="9" ht="100" customHeight="1" s="33">
      <c r="A9" s="10" t="inlineStr">
        <is>
          <t>NG条件・懸念点</t>
        </is>
      </c>
      <c r="B9" s="12" t="inlineStr">
        <is>
          <t>【公式NG記載なし。以下は実務上の懸念点】
・普通自動車免許が必須（未取得者は応募不可）
・勤務時間10:00〜20:00のシフト制で土日出勤あり（土日休み希望者は注意）
・転勤範囲の選択制（ホーム/エリア/ナショナル）は入社後変更可だが、昇格とリンクする可能性
・固定残業20時間込みのため実質時給の確認が必要
・試用期間4か月（待遇変更なし）</t>
        </is>
      </c>
    </row>
    <row r="10" ht="120" customHeight="1" s="33">
      <c r="A10" s="10" t="inlineStr">
        <is>
          <t>エージェントメモ
（裏の評価・社風）</t>
        </is>
      </c>
      <c r="B10" s="13" t="inlineStr">
        <is>
          <t>・東証プライム上場・ガリバーブランドの安心感はフックになりやすい
・「反響営業×インセンティブ」の組み合わせは稼ぎたい×プレッシャー苦手層に訴求しやすい
・社宅・引越費用全額負担の福利厚生は地方出身者や転居をいとわない人材に刺さる
・車好き・接客経験者・未経験者の受け皿として間口が非常に広い
・昇格スピードはパフォーマンス次第で早い（店長→店舗規模手当最大月10万円）
・シフト制・土日出勤は「休日の固定を重視する層」にはミスマッチになりやすい</t>
        </is>
      </c>
    </row>
    <row r="11" ht="15" customHeight="1" s="33">
      <c r="A11" s="32" t="inlineStr">
        <is>
          <t>出典：求人票（株式会社IDOM）　※エージェントメモは求人票記載外の情報を含む</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1"/>
  <sheetViews>
    <sheetView workbookViewId="0">
      <selection activeCell="X23" sqref="X23"/>
    </sheetView>
  </sheetViews>
  <sheetFormatPr baseColWidth="8" defaultRowHeight="13"/>
  <cols>
    <col width="28" customWidth="1" style="33" min="1" max="1"/>
    <col width="70" customWidth="1" style="33" min="2" max="2"/>
  </cols>
  <sheetData>
    <row r="1" ht="30" customHeight="1" s="33">
      <c r="A1" s="36" t="inlineStr">
        <is>
          <t>求人票データ｜株式会社UZUZ</t>
        </is>
      </c>
      <c r="B1" s="35" t="n"/>
    </row>
    <row r="2" ht="20" customHeight="1" s="33">
      <c r="A2" s="34" t="inlineStr">
        <is>
          <t>【新宿】CA（キャリアアドバイザー）◇既卒・第二新卒特化の人材紹介</t>
        </is>
      </c>
      <c r="B2" s="35" t="n"/>
    </row>
    <row r="3" ht="80" customHeight="1" s="33">
      <c r="A3" s="10" t="inlineStr">
        <is>
          <t>必須要件（Must）</t>
        </is>
      </c>
      <c r="B3" s="11" t="inlineStr">
        <is>
          <t>・販売・サービスまたは営業経験（個人・法人不問）を1年以上お持ちの方
※業種・職種未経験歓迎
※学歴不問</t>
        </is>
      </c>
    </row>
    <row r="4" ht="80" customHeight="1" s="33">
      <c r="A4" s="10" t="inlineStr">
        <is>
          <t>歓迎要件（Want）</t>
        </is>
      </c>
      <c r="B4" s="11" t="inlineStr">
        <is>
          <t>・第二新卒・既卒の就職支援に本気で向き合いたい方
・求職者の可能性を掘り下げることにやりがいを感じられる方
・早期にリーダー・マネージャーへキャリアアップしたい方
・副業・私服勤務などの自由度ある職場環境を求める方</t>
        </is>
      </c>
    </row>
    <row r="5" ht="80" customHeight="1" s="33">
      <c r="A5" s="10" t="inlineStr">
        <is>
          <t>仕事内容（概要）</t>
        </is>
      </c>
      <c r="B5" s="11" t="inlineStr">
        <is>
          <t>既卒・第二新卒に特化した人材紹介事業にて、求職者への求人案内・面談練習・スキルアップ支援・内定後フォローまでを一貫して担当するCAポジション。
集客業務なし（YouTube/SNSによる集客済み・日程調整も別担当）。
目の前の求職者に向き合うことに専念できる環境。
組織：CA30名・RA5名の計35名（大阪メンバー6名含む）。20〜30代中心。
勤務：週1〜2回夜間面談対応あり（12:00〜21:00）。平均残業30時間。</t>
        </is>
      </c>
    </row>
    <row r="6" ht="80" customHeight="1" s="33">
      <c r="A6" s="10" t="inlineStr">
        <is>
          <t>求める人物像</t>
        </is>
      </c>
      <c r="B6" s="11" t="inlineStr">
        <is>
          <t>・求職者の「本当にやりたいこと」を徹底的に掘り下げられる人
・マメな連絡・フォローが苦にならない人
・半年〜1年でリーダーを目指せる成長意欲のある人
・副業OKや私服勤務など自由な働き方に魅力を感じる人</t>
        </is>
      </c>
    </row>
    <row r="7" ht="80" customHeight="1" s="33">
      <c r="A7" s="10" t="inlineStr">
        <is>
          <t>ターゲット層の傾向</t>
        </is>
      </c>
      <c r="B7" s="11" t="inlineStr">
        <is>
          <t>【社会貢献型・成長意欲型・自由度重視型】
・接客・販売・営業経験者との親和性が高い
・「若者の就職支援」というミッションに共感できる人
・集客不要・面談特化という環境を求める人
・有給取得率90%以上・副業OKなど働き方の自由度を重視する層に訴求可</t>
        </is>
      </c>
    </row>
    <row r="8" ht="80" customHeight="1" s="33">
      <c r="A8" s="10" t="inlineStr">
        <is>
          <t>想定年収レンジ</t>
        </is>
      </c>
      <c r="B8" s="12" t="inlineStr">
        <is>
          <t>400万円〜700万円
月給259,880円〜434,440円（基本給198,000円〜331,000円＋固定残業手当40時間分）
超過残業代は別途支給
給与改定：年2回（8月・2月）
賞与：年2回（8月・12月）※個人業績連動
有給取得率90%以上・年間休日125日（土日祝）</t>
        </is>
      </c>
    </row>
    <row r="9" ht="100" customHeight="1" s="33">
      <c r="A9" s="10" t="inlineStr">
        <is>
          <t>NG条件・懸念点</t>
        </is>
      </c>
      <c r="B9" s="12" t="inlineStr">
        <is>
          <t>【公式NG記載なし。以下は実務上の懸念点】
・週1〜2回の夜間勤務（12:00〜21:00）は生活リズムが合わない人には負担
・平均残業30時間はCA職としては標準的だが確認が必要
・固定残業40時間分込みの給与提示のため実質時給は確認要
・非上場・従業員90名の規模感（安定志向層には不安要素になりえる）
・既卒・第二新卒ターゲットのため紹介できる求人層が限定的</t>
        </is>
      </c>
    </row>
    <row r="10" ht="120" customHeight="1" s="33">
      <c r="A10" s="10" t="inlineStr">
        <is>
          <t>エージェントメモ
（裏の評価・社風）</t>
        </is>
      </c>
      <c r="B10" s="13" t="inlineStr">
        <is>
          <t>・YouTube就活チャンネルトップクラスの集客力は「営業なし・面談特化」として強いフック
・有給取得率90%超・副業OK・私服勤務は働き方重視層への訴求ポイント
・ホールディングス化による役員・グループ会社へのキャリアパスは成長意欲層に刺さる
・出産祝い金（3人目100万円・4人目222万円）など家族支援制度がユニークで話題になりやすい
・「若者の就職支援」という社会的ミッションに共感できる候補者に向いている
・夜間面談対応や残業30時間は事前に候補者に共有しておくことが重要</t>
        </is>
      </c>
    </row>
    <row r="11" ht="15" customHeight="1" s="33">
      <c r="A11" s="32" t="inlineStr">
        <is>
          <t>出典：求人票（株式会社UZUZ）　※エージェントメモは求人票記載外の情報を含む</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1"/>
  <sheetViews>
    <sheetView workbookViewId="0">
      <selection activeCell="X23" sqref="X23"/>
    </sheetView>
  </sheetViews>
  <sheetFormatPr baseColWidth="8" defaultRowHeight="13"/>
  <cols>
    <col width="28" customWidth="1" style="33" min="1" max="1"/>
    <col width="70" customWidth="1" style="33" min="2" max="2"/>
  </cols>
  <sheetData>
    <row r="1" ht="30" customHeight="1" s="33">
      <c r="A1" s="36" t="inlineStr">
        <is>
          <t>求人票データ｜株式会社ボードルア</t>
        </is>
      </c>
      <c r="B1" s="35" t="n"/>
    </row>
    <row r="2" ht="20" customHeight="1" s="33">
      <c r="A2" s="34" t="inlineStr">
        <is>
          <t>【未経験OK】上流案件急増中企業のインフラエンジニア職｜東証マザーズ上場｜研修充実・資格取得100%</t>
        </is>
      </c>
      <c r="B2" s="35" t="n"/>
    </row>
    <row r="3" ht="80" customHeight="1" s="33">
      <c r="A3" s="10" t="inlineStr">
        <is>
          <t>必須要件（Must）</t>
        </is>
      </c>
      <c r="B3" s="11" t="inlineStr">
        <is>
          <t>・学歴・社会人経験不問
・未経験・第二新卒・既卒も歓迎
※大学、大学院（修士・博士）卒対象</t>
        </is>
      </c>
    </row>
    <row r="4" ht="80" customHeight="1" s="33">
      <c r="A4" s="10" t="inlineStr">
        <is>
          <t>歓迎要件（Want）</t>
        </is>
      </c>
      <c r="B4" s="11" t="inlineStr">
        <is>
          <t>・上昇志向がある方
・20代のうちに手に職をつけたい方
・同世代と切磋琢磨しながら成長したい方
・ITインフラ（ネットワーク・サーバー・クラウド）に興味がある方</t>
        </is>
      </c>
    </row>
    <row r="5" ht="80" customHeight="1" s="33">
      <c r="A5" s="10" t="inlineStr">
        <is>
          <t>仕事内容（概要）</t>
        </is>
      </c>
      <c r="B5" s="11" t="inlineStr">
        <is>
          <t>ITインフラ（ネットワーク・サーバー・クラウド）に特化したシステムインテグレーターにてインフラエンジニアとして従事。
入社後はまずCCNA（Cisco技術者認定資格）取得を目指す。全社員がCCNAを保有。
・研修：社会人基礎〜ITの基礎まで先輩によるマンツーマン指導（約3か月で一人前を目標）
・一人前になった後は本社またはプロジェクト先にて実務（金融・交通・保険・飲食・放送・機器メーカー等幅広い業界）
勤務地：東京都港区赤坂（ミッドタウン・タワー37階）最寄：六本木駅直通</t>
        </is>
      </c>
    </row>
    <row r="6" ht="80" customHeight="1" s="33">
      <c r="A6" s="10" t="inlineStr">
        <is>
          <t>求める人物像</t>
        </is>
      </c>
      <c r="B6" s="11" t="inlineStr">
        <is>
          <t>・IT未経験でも「手に職をつけたい」という強い意志がある人
・20代のうちに専門スキルを身につけ将来的に市場価値を高めたい人
・チームで切磋琢磨しながら成長したい人
・明るい社風・若い組織（平均年齢27歳）に馴染める人</t>
        </is>
      </c>
    </row>
    <row r="7" ht="80" customHeight="1" s="33">
      <c r="A7" s="10" t="inlineStr">
        <is>
          <t>ターゲット層の傾向</t>
        </is>
      </c>
      <c r="B7" s="11" t="inlineStr">
        <is>
          <t>【スキルアップ志向型・未経験IT転職層】
・文系出身・IT未経験からエンジニアを目指す第二新卒・既卒層
・「手に職をつけたい」「専門スキルを身につけたい」動機が強い人材
・平均年齢27歳の若い組織に馴染める20代中心層
・将来的な上場企業でのキャリアや株式上場フェーズへの参加を魅力に感じる層</t>
        </is>
      </c>
    </row>
    <row r="8" ht="80" customHeight="1" s="33">
      <c r="A8" s="10" t="inlineStr">
        <is>
          <t>想定年収レンジ</t>
        </is>
      </c>
      <c r="B8" s="12" t="inlineStr">
        <is>
          <t>248万円〜400万円
基本給171,022円〜／月
月給例：大学卒207,000円〜（一律手当含む）
固定残業代：月20時間分26,071円以上・深夜38時間分9,907円以上含む
【モデル年収】2年目300〜350万円、4年目400〜450万円、6年目500万円以上
昇給：年2回（3年目まで）・4年目以降年1回
賞与：インセンティブ賞与あり・年1回（2年目以降）
資格取得費全額補助あり</t>
        </is>
      </c>
    </row>
    <row r="9" ht="100" customHeight="1" s="33">
      <c r="A9" s="10" t="inlineStr">
        <is>
          <t>NG条件・懸念点</t>
        </is>
      </c>
      <c r="B9" s="12" t="inlineStr">
        <is>
          <t>【公式NG記載なし。以下は実務上の懸念点】
・研修後の配属先がプロジェクト先になる場合あり（常駐勤務）
・変形労働シフト制の可能性あり（研修後配属による）
・固定残業（みなし残業20時間）込みのため実質時給の確認が必要
・年収レンジが比較的低め（特に入社初期）
・未上場から上場準備中のフェーズであり、将来的な安定性は確認要</t>
        </is>
      </c>
    </row>
    <row r="10" ht="120" customHeight="1" s="33">
      <c r="A10" s="10" t="inlineStr">
        <is>
          <t>エージェントメモ
（裏の評価・社風）</t>
        </is>
      </c>
      <c r="B10" s="13" t="inlineStr">
        <is>
          <t>・「全社員CCNA取得100%・資格費全額補助」は未経験エンジニア志望者への最大の訴求ポイント
・東証マザーズ（現グロース）上場・ミッドタウン本社勤務は若い候補者へのブランド訴求に有効
・平均年齢27歳・文系出身7割・20代リーダー多数は「若い組織で成長したい」層に刺さる
・マンツーマン研修・プチ社食・リフレッシュルームなど生活サポートが充実
・IT未経験での転職希望者（文系・サービス業からの転職）との相性が非常に良い
・年収レンジは低めのため、現年収が高い候補者には慎重に確認が必要</t>
        </is>
      </c>
    </row>
    <row r="11" ht="15" customHeight="1" s="33">
      <c r="A11" s="32" t="inlineStr">
        <is>
          <t>出典：求人票（株式会社ボードルア）　※エージェントメモは求人票記載外の情報を含む</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3"/>
  <cols>
    <col width="22" customWidth="1" style="33" min="1" max="1"/>
    <col width="80" customWidth="1" style="33" min="2" max="2"/>
  </cols>
  <sheetData>
    <row r="1" ht="30" customHeight="1" s="33">
      <c r="A1" s="19" t="inlineStr">
        <is>
          <t>求人票データ｜株式会社ワークポート</t>
        </is>
      </c>
      <c r="B1" s="20" t="n"/>
    </row>
    <row r="2" ht="40" customHeight="1" s="33">
      <c r="A2" s="21" t="inlineStr">
        <is>
          <t>【全国】＜完全未経験OK＞キャリアアドバイザー／リクルーティングアドバイザー｜新人研修部署あり！</t>
        </is>
      </c>
      <c r="B2" s="20" t="n"/>
    </row>
    <row r="3" ht="45" customHeight="1" s="33">
      <c r="A3" s="22" t="inlineStr">
        <is>
          <t>必須要件（Must）</t>
        </is>
      </c>
      <c r="B3" s="23" t="inlineStr">
        <is>
          <t>21歳〜32歳（30歳以上は営業経験必須） / 社会人経験1年以上 / 高卒以上 / 転職回数：28歳以下は2回まで、29歳以上は3回まで / 顧客折衝経験1年以上（販売・営業など数値目標を追った経験）、教員1年以上</t>
        </is>
      </c>
    </row>
    <row r="4" ht="60" customHeight="1" s="33">
      <c r="A4" s="22" t="inlineStr">
        <is>
          <t>歓迎要件（Want）</t>
        </is>
      </c>
      <c r="B4" s="23" t="inlineStr">
        <is>
          <t>・顧客折衝経験がある方
【人物面】
・他者の意見を素直に聞ける方
・人に頼られることにやりがいを感じる方</t>
        </is>
      </c>
    </row>
    <row r="5" ht="80" customHeight="1" s="33">
      <c r="A5" s="22" t="inlineStr">
        <is>
          <t>仕事内容（概要）</t>
        </is>
      </c>
      <c r="B5" s="23" t="inlineStr">
        <is>
          <t>個人営業（CA）または法人営業（RA）のいずれかを担当。
■CA：転職希望者のキャリアビジョンヒアリング、応募書類添削、面接対策など転職活動全般をサポート。
■RA：経営者・人事に採用戦略を提案。人材要件ヒアリング、人材紹介、面接調整などコンサルティング全般。
※配属はCA・RAともに面接と研修での適性を見て判断。</t>
        </is>
      </c>
    </row>
    <row r="6" ht="70" customHeight="1" s="33">
      <c r="A6" s="22" t="inlineStr">
        <is>
          <t>求める人物像</t>
        </is>
      </c>
      <c r="B6" s="23" t="inlineStr">
        <is>
          <t>・他者の意見を素直に受け入れ実践できる方（素直さ・柔軟性）
・人に寄り添い、頼られることにやりがいを感じる方
・誠実に人と向き合える方
・顧客志向と目標達成志向のバランスが取れる方（どちらかに偏りすぎない）</t>
        </is>
      </c>
    </row>
    <row r="7" ht="80" customHeight="1" s="33">
      <c r="A7" s="22" t="inlineStr">
        <is>
          <t>ターゲット層の傾向</t>
        </is>
      </c>
      <c r="B7" s="23" t="inlineStr">
        <is>
          <t>【誠実さ重視・ポテンシャル型】
・20代中心（21〜32歳）、社会人経験1年以上
・業界・職種不問（携帯販売、ブライダル、教師など多様な出身者）
・30歳以上は営業経験マスト
・転職回数：28歳以下2回まで、29歳以上3回まで
・平均年齢29.1歳の若い組織（2024年度）</t>
        </is>
      </c>
    </row>
    <row r="8" ht="90" customHeight="1" s="33">
      <c r="A8" s="22" t="inlineStr">
        <is>
          <t>想定年収レンジ</t>
        </is>
      </c>
      <c r="B8" s="23" t="inlineStr">
        <is>
          <t>420万〜600万円
月給：260,000円〜（基本給198,000円＋固定残業代62,000円含む）
全国コース：月給290,000円〜（基本給220,000円＋固定残業代70,000円含む）
賞与：年4回（業績により決算賞与有）
インセンティブ：月次・四半期など（年間最大171万円の支給例あり）
【年収例】入社3年目メンバー540万、シニアリーダー600万、入社5年目リーダー630万</t>
        </is>
      </c>
    </row>
    <row r="9" ht="90" customHeight="1" s="33">
      <c r="A9" s="22" t="inlineStr">
        <is>
          <t>NG条件・懸念点</t>
        </is>
      </c>
      <c r="B9" s="23" t="inlineStr">
        <is>
          <t>【エージェント限定情報】
・年齢：32歳まで（30歳以上は営業経験必須）
・転職回数：28歳以下2回まで、29歳以上3回まで
・国籍：日本国籍のみ
・精神疾患（適応障害等）をお持ちの方はNG
・残業不可・時間的制約のある方はNG
・リモート勤務希望者はNG
・対面面接マスト（選考中1回は必ず対面）</t>
        </is>
      </c>
    </row>
    <row r="10" ht="110" customHeight="1" s="33">
      <c r="A10" s="22" t="inlineStr">
        <is>
          <t>エージェントメモ
（裏の評価・社風）</t>
        </is>
      </c>
      <c r="B10" s="23" t="inlineStr">
        <is>
          <t>・「会えるエージェント」を重視する文化。対面での印象・清潔感・コミュニケーション力を重視。
・価値観の一致を最重視（売上実績より誠実さ・人への態度を重視）
・最終面接でのお見送りは「顧客志向と営業志向のバランス」に起因することが多い。販売サービス出身者は「人材ドリーマー」イメージが強くなりがちで、数字を追えるかを問われる。
・素直さ・当事者意識が評価の鍵。他責発言はNG。
・研修部門あり、新人教育体制が整っている（同期と共に研修）。
・育休復帰率95.8%、年間休日123日など働き方良好。</t>
        </is>
      </c>
    </row>
    <row r="11" ht="20" customHeight="1" s="33">
      <c r="A11" s="24" t="inlineStr">
        <is>
          <t>出典：求人票（株式会社ワークポート）　※エージェントメモは求人票記載外の情報を含む</t>
        </is>
      </c>
      <c r="B11" s="20" t="n"/>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3"/>
  <cols>
    <col width="30" customWidth="1" style="33" min="1" max="1"/>
    <col width="80" customWidth="1" style="33" min="2" max="2"/>
  </cols>
  <sheetData>
    <row r="1" ht="25" customHeight="1" s="33">
      <c r="A1" s="25" t="inlineStr">
        <is>
          <t>求人票データ｜株式会社GENOVA</t>
        </is>
      </c>
    </row>
    <row r="2" ht="20" customHeight="1" s="33">
      <c r="A2" s="26" t="inlineStr">
        <is>
          <t>メディカルプラットフォーム営業職</t>
        </is>
      </c>
    </row>
    <row r="3" ht="80" customHeight="1" s="33">
      <c r="A3" s="26" t="inlineStr">
        <is>
          <t>必須要件（Must）</t>
        </is>
      </c>
      <c r="B3" s="27" t="inlineStr">
        <is>
          <t>・特になし（スキル・経験不問）
【求める人物像】
・人・組織の成長に興味がある方
・努力し続けられる方
・チームワークを重視できる方
・成果にこだわれる方
・営業を極めて人間力を高めたい方
・経営目線を学びたい方
・具体的なキャリアプランがある方
・圧倒的に成長したい方</t>
        </is>
      </c>
    </row>
    <row r="4" ht="80" customHeight="1" s="33">
      <c r="A4" s="26" t="inlineStr">
        <is>
          <t>歓迎要件（Want）</t>
        </is>
      </c>
      <c r="B4" s="27" t="inlineStr">
        <is>
          <t>・営業経験者（業種不問）
・医療業界への関心がある方
・ベンチャー・成長環境を求める方
・インセンティブで高収入を目指したい方</t>
        </is>
      </c>
    </row>
    <row r="5" ht="80" customHeight="1" s="33">
      <c r="A5" s="26" t="inlineStr">
        <is>
          <t>仕事内容（概要）</t>
        </is>
      </c>
      <c r="B5" s="27" t="inlineStr">
        <is>
          <t>医療機関（歯科医院・クリニック・整骨院）向けに、医療情報サイト「Medical DOC」およびAIチャットボット「NOMOCA AI」を提案する法人営業職。
電話アポイント→ヒアリング→企画立案→提案・プレゼンという流れで営業活動を行う。
患者集客・業務効率化・リピート促進などの課題解決を提供。
商材はAI・DX領域で成長性が高い。</t>
        </is>
      </c>
    </row>
    <row r="6" ht="80" customHeight="1" s="33">
      <c r="A6" s="26" t="inlineStr">
        <is>
          <t>求める人物像</t>
        </is>
      </c>
      <c r="B6" s="27" t="inlineStr">
        <is>
          <t>・成長意欲・向上心が強い方
・実力主義の環境で稼ぎたい方
・若いうちに裁量を持って働きたい方
・医療×ITという成長市場に関わりたい方</t>
        </is>
      </c>
    </row>
    <row r="7" ht="80" customHeight="1" s="33">
      <c r="A7" s="26" t="inlineStr">
        <is>
          <t>ターゲット層の傾向</t>
        </is>
      </c>
      <c r="B7" s="27" t="inlineStr">
        <is>
          <t>【成長志向・実力主義型】
・第二新卒〜20代後半がメイン層
・未経験・異業種歓迎
・「成長したい・稼ぎたい」動機が強い人材が向く
・平均年齢29歳と若手が多い職場</t>
        </is>
      </c>
    </row>
    <row r="8" ht="80" customHeight="1" s="33">
      <c r="A8" s="26" t="inlineStr">
        <is>
          <t>想定年収レンジ</t>
        </is>
      </c>
      <c r="B8" s="27" t="inlineStr">
        <is>
          <t>月給：255,000円〜300,000円（固定残業35時間/54,570円含む）
想定年収：300万円〜360万円（入社時）
歩合：上限なし
【モデル年収】
・20代前半 課長代理職：年収780万円（年俸420万＋歩合360万）
・20代前半 課長職：年収1,200万円（年俸540万＋歩合660万）
・20代後半 部長職：年収1,300万円（年俸600万＋歩合700万）</t>
        </is>
      </c>
    </row>
    <row r="9" ht="80" customHeight="1" s="33">
      <c r="A9" s="26" t="inlineStr">
        <is>
          <t>NG条件・懸念点</t>
        </is>
      </c>
      <c r="B9" s="27" t="inlineStr">
        <is>
          <t>【公式NG記載なし。以下は実務上の懸念点】
・安定志向・指示待ちタイプは文化的に合わない可能性
・完全実力主義のため、歩合依存の収入構造に不安を感じる候補者には注意
・電話アポイント主体のため、テレアポに拒否感がある候補者は要確認
・勤務地：名古屋本社（愛知県）が主軸。東京・大阪・福岡等の支店あり</t>
        </is>
      </c>
    </row>
    <row r="10" ht="80" customHeight="1" s="33">
      <c r="A10" s="26" t="inlineStr">
        <is>
          <t>エージェントメモ
（裏の評価・社風）</t>
        </is>
      </c>
      <c r="B10" s="27" t="inlineStr">
        <is>
          <t>・東証プライム上場（2024年9月）の医療×IT企業。成長ストーリーを語りやすい
・平均年齢29歳、入社2年でマネージャー事例あり。昇格スピードの速さは訴求ポイント
・「経営者（院長）と話せる」という訴求は成長意欲の高い候補者に刺さる
・AIチャットボット（NOMOCA AI）はChatGPT活用の最新商材。IT・DX関心層へのフックになる
・歩合上限なしは「稼ぎたい」候補者への強い訴求材料
・NG評価ポイントとして「安定志向・ルーティン好き・変化を嫌う」タイプは合わない</t>
        </is>
      </c>
    </row>
    <row r="11" ht="20" customHeight="1" s="33">
      <c r="A11" s="28" t="inlineStr">
        <is>
          <t>掲載開始日</t>
        </is>
      </c>
      <c r="B11" s="37" t="n">
        <v>46092</v>
      </c>
    </row>
    <row r="12" ht="20" customHeight="1" s="33">
      <c r="A12" s="28" t="inlineStr">
        <is>
          <t>ステータス</t>
        </is>
      </c>
      <c r="B12" s="30">
        <f>IF(TODAY()-B11&gt;=60,"非アクティブ",IF(B13="なし","新規","アクティブ"))</f>
        <v/>
      </c>
    </row>
    <row r="13" ht="20" customHeight="1" s="33">
      <c r="A13" s="28" t="inlineStr">
        <is>
          <t>内定実績</t>
        </is>
      </c>
      <c r="B13" s="29" t="inlineStr">
        <is>
          <t>なし</t>
        </is>
      </c>
    </row>
    <row r="14" ht="20" customHeight="1" s="33">
      <c r="A14" s="26" t="inlineStr">
        <is>
          <t>出典：求人票（株式会社GENOVA）　※エージェントメモは求人票記載外の情報を含む</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求人票データ｜株式会社セレブリックス セールスカンパニー</t>
        </is>
      </c>
    </row>
    <row r="2">
      <c r="A2" t="inlineStr">
        <is>
          <t>【東京】営業プレイヤー職／データドリブンセールス／最短1年でPL昇格</t>
        </is>
      </c>
    </row>
    <row r="3">
      <c r="A3" t="inlineStr">
        <is>
          <t>掲載日</t>
        </is>
      </c>
      <c r="B3" t="inlineStr">
        <is>
          <t>2026/03/03</t>
        </is>
      </c>
    </row>
    <row r="4">
      <c r="A4" t="inlineStr">
        <is>
          <t>必須要件（Must）</t>
        </is>
      </c>
      <c r="B4" t="inlineStr">
        <is>
          <t>・特になし（業種・職種・営業未経験歓迎）
・何かしらの営業経験があれば尚可</t>
        </is>
      </c>
    </row>
    <row r="5">
      <c r="A5" t="inlineStr">
        <is>
          <t>歓迎要件（Want）</t>
        </is>
      </c>
      <c r="B5" t="inlineStr">
        <is>
          <t>・何かしらの営業経験がある方
・CEREBRIXのビジョン・ミッションに共感できる方
・向上心があり、主体的に行動できる方
・コミュニケーションをとることが好きな方
・周囲と協力して仕事に取り組める方</t>
        </is>
      </c>
    </row>
    <row r="6">
      <c r="A6" t="inlineStr">
        <is>
          <t>仕事内容（概要）</t>
        </is>
      </c>
      <c r="B6" t="inlineStr">
        <is>
          <t>大手上場企業をはじめとするクライアント1,100社・12,000サービスの営業支援。
「データドリブンセールス（営業を科学する）」を軸に、営業戦略の立案から実際の営業活動・結果分析まで一貫して担当。
【業務の流れ】
・ターゲット選定・営業戦略の立案
・実際の電話・訪問営業（クライアント先への常駐ケースあり）
・トークスクリプト改善・営業ノウハウの体系化
・クライアントへの結果報告・改善提案
★最短1年でプロジェクトリーダー（PL）昇格を目指せる
★将来的には営業コンサルタント・研修講師・マーケ・人事へのキャリアチェンジも可能
★博報堂グループの安定性×ベンチャーの風通しの良さ</t>
        </is>
      </c>
    </row>
    <row r="7">
      <c r="A7" t="inlineStr">
        <is>
          <t>求める人物像</t>
        </is>
      </c>
      <c r="B7" t="inlineStr">
        <is>
          <t>・データと論理で営業を科学したい人
・早期にマネジメントへ昇格したい成長意欲の高い人
・営業を「感覚・根性論」ではなくプロフェッショナルとして極めたい人
・チームで成果を出すことにやりがいを感じる人</t>
        </is>
      </c>
    </row>
    <row r="8">
      <c r="A8" t="inlineStr">
        <is>
          <t>ターゲット層の傾向</t>
        </is>
      </c>
      <c r="B8" t="inlineStr">
        <is>
          <t>【成長志向・論理的思考型／営業未経験歓迎】
・第二新卒〜20代後半がメイン層
・前職：事務・飲食・秘書など異業種からの転職実績多数（未経験入社が大多数）
・中途採用率54%（2020年度）と門戸が広い
・「営業を体系的に学びたい・科学したい」動機が強い人材に向く
・博報堂グループの看板を背景にした安定志向＋成長志向の両立を求める層にも刺さりやすい</t>
        </is>
      </c>
    </row>
    <row r="9">
      <c r="A9" t="inlineStr">
        <is>
          <t>想定年収レンジ</t>
        </is>
      </c>
      <c r="B9" t="inlineStr">
        <is>
          <t>330万〜400万円（入社時）
年俸制・12分割支給
【モデル年収】
・480万円／未経験入社・26歳・3年目（前職：事務）
・720万円／未経験入社・28歳・4年目（前職：飲食）
・800万円／未経験入社・32歳・5年目（前職：秘書）
※インセンティブ付き社内表彰制度あり
※確定拠出型年金制度あり</t>
        </is>
      </c>
    </row>
    <row r="10">
      <c r="A10" t="inlineStr">
        <is>
          <t>NG条件・懸念点</t>
        </is>
      </c>
      <c r="B10" t="inlineStr">
        <is>
          <t>【公式NG記載なし。以下は実務上の懸念点】
・クライアント先常駐（23区内）があるため、勤務地が変動することへの理解が必要
・年俸制のため、賞与・ボーナスという概念がない（インセンティブで補完）
・入社時年収330〜400万円は他社比でやや低め。成長スピードと引き換えと説明必要
・「安定・ルーティン志向」の候補者には合わない可能性
・常駐先によっては事実上クライアント文化に染まるケースあり（注意喚起要）</t>
        </is>
      </c>
    </row>
    <row r="11">
      <c r="A11" t="inlineStr">
        <is>
          <t>エージェントメモ
（裏の評価・社風）</t>
        </is>
      </c>
      <c r="B11" t="inlineStr">
        <is>
          <t>・博報堂グループの安定性を持ちながらベンチャー気質のカルチャー。「大手でありつつ裁量がある」訴求がしやすい
・「CEREBRIX PRIDE（GRIT・自責・不断の改善など）」という独自の価値観があり、共感できる候補者に刺さる
・営業支援会社のため「直接販売ではなく、クライアントを勝たせる立場」というポジションに共感できる人が向く
・研修体制（SalesCamp→ProjectCamp→Nカレッジ）が充実しており、未経験訴求に使いやすい
・副業OK・充実した休暇制度（エフ休暇・奥様出産応援休暇など）はユニークな福利厚生として刺さりやすい
・NG評価ポイント：「指示待ち・安定のみ求める・数字にコミットできない」タイプは合わない</t>
        </is>
      </c>
    </row>
    <row r="12">
      <c r="A12" t="inlineStr">
        <is>
          <t>出典：求人票（株式会社セレブリックス セールスカンパニー）　※エージェントメモは求人票記載外の情報を含む</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求人票データ｜株式会社ラクス</t>
        </is>
      </c>
    </row>
    <row r="2">
      <c r="A2" t="inlineStr">
        <is>
          <t>【東京・新宿】インサイドセールス／SaaS／法人営業経験者歓迎</t>
        </is>
      </c>
    </row>
    <row r="3">
      <c r="A3" t="inlineStr">
        <is>
          <t>掲載日</t>
        </is>
      </c>
      <c r="B3" t="inlineStr">
        <is>
          <t>2026/03/13</t>
        </is>
      </c>
    </row>
    <row r="4">
      <c r="A4" t="inlineStr">
        <is>
          <t>必須要件（Must）</t>
        </is>
      </c>
      <c r="B4" t="inlineStr">
        <is>
          <t>・大卒以上
・法人営業経験2年以上</t>
        </is>
      </c>
    </row>
    <row r="5">
      <c r="A5" t="inlineStr">
        <is>
          <t>歓迎要件（Want）</t>
        </is>
      </c>
      <c r="B5" t="inlineStr">
        <is>
          <t>・基本的なIT知識
・簿記・会計などの業務知識
・定量的な分析力</t>
        </is>
      </c>
    </row>
    <row r="6">
      <c r="A6" t="inlineStr">
        <is>
          <t>仕事内容（概要）</t>
        </is>
      </c>
      <c r="B6" t="inlineStr">
        <is>
          <t>マーケティングが獲得したリードに対し、課題ヒアリング・啓蒙を通じて商談を創出するインサイドセールスポジション。
フィールドセールスへのパスだけでなく、自身でオンライン商談を進め受注まで担うケースもあり。
【主な業務】
・見込み顧客の育成（ナーチャリング）
・商談機会の創出（電話・メールでのアプローチ）
・他商材へのクロスセル商談の創出
・アウトバウンド・掘り起こし管理
・マーケティング部と連携した施策立案・実行
・架電接触に伴う顧客情報の収集・組織へのフィードバック
★配属先はプロダクトごとの事業部（適性・状況に応じて決定）
★IS→FS、マーケ、CSへの社内異動も可能（社内公募制度あり）
★東証プライム上場（コード3923）。売上高CAGR30%目標の成長企業</t>
        </is>
      </c>
    </row>
    <row r="7">
      <c r="A7" t="inlineStr">
        <is>
          <t>求める人物像</t>
        </is>
      </c>
      <c r="B7" t="inlineStr">
        <is>
          <t>・データと論理で営業を改善したい人
・SaaS・IT業界でのキャリアを構築したい人
・マーケ〜営業を俯瞰した視点で動きたい人
・チームで施策を回すことにやりがいを感じる人</t>
        </is>
      </c>
    </row>
    <row r="8">
      <c r="A8" t="inlineStr">
        <is>
          <t>ターゲット層の傾向</t>
        </is>
      </c>
      <c r="B8" t="inlineStr">
        <is>
          <t>【法人営業経験者・IT・SaaS志向型】
・20代後半〜30代前半がメイン層
・前職：法人営業（IT・SaaS・無形商材経験者に親和性高め）
・大卒以上・法人営業2年以上が必須のため、一定のスクリーニングあり
・「営業からマーケや企画にも関わりたい」キャリア志向の候補者に刺さる
・「顧客に本当にいいサービスを提案できる」という訴求が響く人材が向く</t>
        </is>
      </c>
    </row>
    <row r="9">
      <c r="A9" t="inlineStr">
        <is>
          <t>想定年収レンジ</t>
        </is>
      </c>
      <c r="B9" t="inlineStr">
        <is>
          <t>501万円〜661万円（年収レンジ）
月額例：314,500円（基本給242,000円＋固定残業代20h分＋その他手当）
※月20h分の固定残業代含む（超過分別途支給）
賞与：年2回（6・12月）
昇給：年1回（5月）
【手当】
・家族手当（月3万/1人、5万/2人、6万/3人以上）
・通勤手当（上限10万/月）</t>
        </is>
      </c>
    </row>
    <row r="10">
      <c r="A10" t="inlineStr">
        <is>
          <t>NG条件・懸念点</t>
        </is>
      </c>
      <c r="B10" t="inlineStr">
        <is>
          <t>【公式NG記載なし。以下は実務上の懸念点】
・法人営業2年以上が必須のため、未経験・個人営業のみの候補者は対象外
・大卒以上の学歴要件あり
・配属先プロダクトは選考時に確定しない（適性・組織状況で決定）
・水曜在宅のみのため、フルリモート希望者には合わない
・固定残業20h含む給与体系のため、実質的な時給は確認要</t>
        </is>
      </c>
    </row>
    <row r="11">
      <c r="A11" t="inlineStr">
        <is>
          <t>エージェントメモ
（裏の評価・社風）</t>
        </is>
      </c>
      <c r="B11" t="inlineStr">
        <is>
          <t>・東証プライム上場のSaaS企業。「楽楽精算」「楽楽販売」など複数プロダクトを持つ成長企業で訴求しやすい
・IS→FS→マーケ→CSへの社内異動実績があり、キャリアパスの広さは強いフック
・「顧客に押し売りしない・本質提案に集中できる」という文化訴求が、誠実な候補者に刺さる
・評価制度は「思考力・行動力・人間関係力・組織推進力」の4軸。数字だけでなくビジネスマンとしての成長を重視
・NG評価ポイント：「指示待ち・数字へのコミット感がない・フルリモート前提」の候補者は合わない</t>
        </is>
      </c>
    </row>
    <row r="12">
      <c r="A12" t="inlineStr">
        <is>
          <t>出典：求人票（株式会社ラクス）　※エージェントメモは求人票記載外の情報を含む</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求人票データ｜株式会社SmartHR</t>
        </is>
      </c>
    </row>
    <row r="2">
      <c r="A2" t="inlineStr">
        <is>
          <t>カスタマーサクセス（東京・六本木）／SaaS・人事労務領域</t>
        </is>
      </c>
    </row>
    <row r="3">
      <c r="A3" t="inlineStr">
        <is>
          <t>掲載日</t>
        </is>
      </c>
      <c r="B3" t="inlineStr">
        <is>
          <t>2026/03/13</t>
        </is>
      </c>
    </row>
    <row r="4">
      <c r="A4" t="inlineStr">
        <is>
          <t>必須要件（Must）</t>
        </is>
      </c>
      <c r="B4" t="inlineStr">
        <is>
          <t>・SmartHRのミッション・バリューへの共感
・以下いずれかの経験：
　①カスタマーサクセス経験（1年以上）
　②システム導入・導入コンサルタント経験（2年以上）
　③ウェブ/ITサービスの既存顧客対応経験（2年以上）
・チームで協働する能力</t>
        </is>
      </c>
    </row>
    <row r="5">
      <c r="A5" t="inlineStr">
        <is>
          <t>歓迎要件（Want）</t>
        </is>
      </c>
      <c r="B5" t="inlineStr">
        <is>
          <t>・SaaSプロダクトのCS経験
・担当顧客を一定数持ちながらの顧客折衝経験
・スケールする事業モデルでの業務改善経験
・基幹システムまたは大規模システムの導入・PJ推進経験
・BtoB SaaS事業での業務経験
・課題ヒアリング・要件定義・企画・提案の主担当経験</t>
        </is>
      </c>
    </row>
    <row r="6">
      <c r="A6" t="inlineStr">
        <is>
          <t>仕事内容（概要）</t>
        </is>
      </c>
      <c r="B6" t="inlineStr">
        <is>
          <t>クラウド人事労務ソフト「SmartHR」を契約中の顧客に対してCSMとして活用支援・継続利用促進を担当するポジション。
【主な業務】
・オンボーディング（導入〜使いこなしまでのサポート）
・活用促進施策の検討・実行（利用率向上・機能提案）
・契約更新に向けたアプローチ
・アップセル活動（PMM・セールスと連携）
・新機能のオンボーディング・機能利用率向上施策
★マルチプロダクト（労務管理＋タレントマネジメント）を1人のCSMが一貫対応
★全社にCS理念が浸透しており、社内利害調整が少なく顧客対応に集中できる環境
★顧客フィードバックを開発サイドに届け、プロダクト改善に関与できる</t>
        </is>
      </c>
    </row>
    <row r="7">
      <c r="A7" t="inlineStr">
        <is>
          <t>求める人物像</t>
        </is>
      </c>
      <c r="B7" t="inlineStr">
        <is>
          <t>・顧客志向が強く、ユーザーの悩みを根本から一緒に考えられる人
・組織全体の成果を意識しながら自分の役割を果たせる人
・自ら課題を発見し、セールス・エンジニアを巻き込んで解決できる人
・新しいツール・手法を積極的に活用できる人</t>
        </is>
      </c>
    </row>
    <row r="8">
      <c r="A8" t="inlineStr">
        <is>
          <t>ターゲット層の傾向</t>
        </is>
      </c>
      <c r="B8" t="inlineStr">
        <is>
          <t>【CS経験者・SaaS志向・顧客志向型】
・20代後半〜30代がメイン層
・前職：SaaS CS・ITコンサル・システム導入PM・既存顧客対応などの経験者
・「CS × プロダクト改善」に関わりたい人材に強い訴求力
・フレックス・リモートワークOKのため、ワークライフバランス重視層にも刺さる
・SmartHRのミッション（well-working）への共感が選考上重要なポイント</t>
        </is>
      </c>
    </row>
    <row r="9">
      <c r="A9" t="inlineStr">
        <is>
          <t>想定年収レンジ</t>
        </is>
      </c>
      <c r="B9" t="inlineStr">
        <is>
          <t>想定年収：467万6,000円〜1,050万円
（成果給を除く年収：400万8,000円〜900万円）
月給：33万4,000円〜75万円
　└ 固定残業：みなし残業45h＋みなし深夜8h相当含む
　└ 超過分は別途支給
成果給（インセンティブ）：年2回
昇給：年2回
【手当】通勤手当（上限3万/月・出社日数分）・リモートワーク手当（+5,000円/月）</t>
        </is>
      </c>
    </row>
    <row r="10">
      <c r="A10" t="inlineStr">
        <is>
          <t>NG条件・懸念点</t>
        </is>
      </c>
      <c r="B10" t="inlineStr">
        <is>
          <t>【公式NG記載なし。以下は実務上の懸念点】
・みなし残業45hは業界水準の中ではやや高め。実態の残業時間は確認推奨
・試用期間3ヶ月（最大6ヶ月延長可能性あり）で、延長時に等級・報酬変更の可能性あり
・フルリモートは不可。所属組織によって出社要請あり
・back check（リファレンスチェック）が選考フローに含まれるため、事前に候補者へ説明が必要
・SmartHRのミッション共感が採用基準に入るため、「なんとなくCS経験者」では刺さりにくい</t>
        </is>
      </c>
    </row>
    <row r="11">
      <c r="A11" t="inlineStr">
        <is>
          <t>エージェントメモ
（裏の評価・社風）</t>
        </is>
      </c>
      <c r="B11" t="inlineStr">
        <is>
          <t>・「SmartHR」はHR領域で国内トップクラスのSaaS。ブランド力があり候補者への訴求がしやすい
・フレックス（コアタイムなし）・リモートOKという柔軟な働き方は、ワークライフバランス重視層に刺さる
・「全社にCSの理念が浸透」という環境は、他社でCS vs Sales摩擦を経験した候補者への強いフック
・プロダクト改善に関与できる点は、PdMやビジネス側へのキャリア志向者に響く
・back checkが必須なため、転職活動を隠している候補者には注意喚起が必要
・NG評価ポイント：「ミッション共感がない・指示待ちCS・フルリモート前提・短期転職の繰り返し」は合わない</t>
        </is>
      </c>
    </row>
    <row r="12">
      <c r="A12" t="inlineStr">
        <is>
          <t>出典：求人票（株式会社SmartHR）　※エージェントメモは求人票記載外の情報を含む</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求人票データ｜株式会社MyVision</t>
        </is>
      </c>
    </row>
    <row r="2">
      <c r="A2" t="inlineStr">
        <is>
          <t>オープンポジション（CA/RA）／転職支援・人材紹介／急成長HR企業</t>
        </is>
      </c>
    </row>
    <row r="3">
      <c r="A3" t="inlineStr">
        <is>
          <t>掲載日</t>
        </is>
      </c>
      <c r="B3" t="inlineStr">
        <is>
          <t>2026/03/13</t>
        </is>
      </c>
    </row>
    <row r="4">
      <c r="A4" t="inlineStr">
        <is>
          <t>必須要件（Must）</t>
        </is>
      </c>
      <c r="B4" t="inlineStr">
        <is>
          <t>・大卒以上
・これまでの業務でPDCAを重視し、高い成果を残してきた方
※人材紹介・コンサルタント経験は一切不問</t>
        </is>
      </c>
    </row>
    <row r="5">
      <c r="A5" t="inlineStr">
        <is>
          <t>歓迎要件（Want）</t>
        </is>
      </c>
      <c r="B5" t="inlineStr">
        <is>
          <t>・営業・販売・接客などの顧客折衝経験
・目標達成にこだわってきた経験
・新規事業・ベンチャー環境を求める方
・マネジメントを早期に目指したい方</t>
        </is>
      </c>
    </row>
    <row r="6">
      <c r="A6" t="inlineStr">
        <is>
          <t>仕事内容（概要）</t>
        </is>
      </c>
      <c r="B6" t="inlineStr">
        <is>
          <t>転職支援・人材紹介事業のCA（キャリアアドバイザー）またはRA（リクルーティングアドバイザー）として活躍するポジション。
選考中に適性・希望を確認しながら配属事業部を決定するオープン選考。
【選考可能性のあるポジション】
・マイビジョン事業部（コンサル特化のハイクラス転職支援）
・ビルドジョブ事業部（建設業界向け転職支援）
・ツインプロ事業部（経理・財務領域）
・テックゴー事業部（ITエンジニア転職支援）
・メーカーズジョブ事業部（メーカー企業向け）
★システム（SFA/CRM/ERP）をすべて内製・デイリーアップデートで業務効率化を徹底
★業務の大半を面談・面接対策など本来業務に投下できる環境
★入社4ヶ月目〜成果に応じてリモート活用可（週2〜フルリモート）
★2028年上場計画中の急成長フェーズ</t>
        </is>
      </c>
    </row>
    <row r="7">
      <c r="A7" t="inlineStr">
        <is>
          <t>求める人物像</t>
        </is>
      </c>
      <c r="B7" t="inlineStr">
        <is>
          <t>・PDCAを重視し、高い成果を残してきた人
・「みんなで成長」のバリューに共感できる人
・早期にマネジメントを目指したい成長志向の強い人
・人材業界・キャリア支援に本気で向き合いたい人</t>
        </is>
      </c>
    </row>
    <row r="8">
      <c r="A8" t="inlineStr">
        <is>
          <t>ターゲット層の傾向</t>
        </is>
      </c>
      <c r="B8" t="inlineStr">
        <is>
          <t>【成果志向・ベンチャー志向・成長意欲型】
・第二新卒〜20代後半がメイン層
・前職：営業・販売・接客など目標数字を持って動いてきた経験者に親和性高め
・「人材業界未経験OK」な門戸の広さと「上場前ベンチャーで初期メンバー」の希少性が刺さる
・女性活躍も重視（女性比率50%以上）、育休・産休取得実績あり
・入社1年目は前職ベース給与を保証する制度あり</t>
        </is>
      </c>
    </row>
    <row r="9">
      <c r="A9" t="inlineStr">
        <is>
          <t>想定年収レンジ</t>
        </is>
      </c>
      <c r="B9" t="inlineStr">
        <is>
          <t>420万円〜1,800万円
給与形態：ベース給与＋成果インセンティブ
★入社1年目は前職ベース給与の支給を保証
年間休日：123日（完全週休2日・土日祝＋夏季・年末年始）
勤務時間：フレックス制（9〜22時の間で8時間勤務、12時までに始業）</t>
        </is>
      </c>
    </row>
    <row r="10">
      <c r="A10" t="inlineStr">
        <is>
          <t>NG条件・懸念点</t>
        </is>
      </c>
      <c r="B10" t="inlineStr">
        <is>
          <t>【公式NG記載なし。以下は実務上の懸念点】
・試用期間6ヶ月は「有期正社員」扱い（勤務態度不良等で更新なしの可能性あり）
・配属ポジションは選考中に決定するため、特定事業部への配属は保証されない
・リモートは入社4ヶ月目以降・成果次第のため、即リモート希望者には合わない
・2022年設立のため社歴が浅く、制度・環境が流動的（変化を嫌う候補者には注意）
・インセンティブ比率が高い給与構造のため、安定志向の候補者には合わない可能性</t>
        </is>
      </c>
    </row>
    <row r="11">
      <c r="A11" t="inlineStr">
        <is>
          <t>エージェントメモ
（裏の評価・社風）</t>
        </is>
      </c>
      <c r="B11" t="inlineStr">
        <is>
          <t>・BCG・DTC出身の経営陣＋連続起業家CTOという経営層の質の高さは、ハイキャリア志向の候補者への訴求に使いやすい
・「リクルートのようにMyVision出身であること自体が評価される人材輩出企業を目指す」というビジョンは市場価値意識の高い候補者に刺さる
・内製システムによる業務効率化の徹底は「CA本来業務に集中できる」訴求として差別化しやすい
・マネージャーがデイリー1on1で伴走する育成体制は、未経験でも安心感を持てる材料
・2028年上場計画という明確なマイルストーンはストーリーを語りやすいフック
・NG評価ポイント：「安定志向・変化嫌い・数字コミットが苦手・チーム貢献意識が薄い」タイプは合わない</t>
        </is>
      </c>
    </row>
    <row r="12">
      <c r="A12" t="inlineStr">
        <is>
          <t>出典：求人票（株式会社MyVision）　※エージェントメモは求人票記載外の情報を含む</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求人票データ｜株式会社BuySell Technologies（店舗事業本部）</t>
        </is>
      </c>
    </row>
    <row r="2">
      <c r="A2" t="inlineStr">
        <is>
          <t>【店舗事業本部】買取査定スタッフ／完全反響・店舗来店型／ワークライフバランス◎</t>
        </is>
      </c>
    </row>
    <row r="3">
      <c r="A3" t="inlineStr">
        <is>
          <t>掲載日</t>
        </is>
      </c>
      <c r="B3" t="inlineStr">
        <is>
          <t>2026/03/13</t>
        </is>
      </c>
    </row>
    <row r="4">
      <c r="A4" t="inlineStr">
        <is>
          <t>必須要件（Must）</t>
        </is>
      </c>
      <c r="B4" t="inlineStr">
        <is>
          <t>・最終学歴：高卒以上
※スキル・経験不問（ほぼ全員未経験スタート）</t>
        </is>
      </c>
    </row>
    <row r="5">
      <c r="A5" t="inlineStr">
        <is>
          <t>歓迎要件（Want）</t>
        </is>
      </c>
      <c r="B5" t="inlineStr">
        <is>
          <t>・人とのコミュニケーションが好きな方
・個人のお客様への提案営業経験
・仲間やチームと切磋琢磨し目標達成に向けて動ける方
・未経験でも頑張りたいという気持ちのある方</t>
        </is>
      </c>
    </row>
    <row r="6">
      <c r="A6" t="inlineStr">
        <is>
          <t>仕事内容（概要）</t>
        </is>
      </c>
      <c r="B6" t="inlineStr">
        <is>
          <t>商業施設内のバイセル買取専門店（直営）で、来店されたお客様からブランド品・骨董品・宝石・アクセサリーなどの買取査定を担当するポジション。
テレアポ・飛び込みなし、完全反響型（来店型）の接客営業。
【主な業務】
①来店対応・査定ブースへのご案内
②商品の査定・価格交渉（専門査定チームと連携）
③商品管理・発送業務
④スキルに応じて店舗数字管理・スタッフ教育管理
★平均成約率80%以上（まごころ査定）
★商業施設内店舗のため残業少なくワークライフバランス◎
★1ヶ月間の充実した研修あり
★早い人は1年程度で店長昇進が可能
★東証上場企業（安定性）
★エリア採用（転勤なし）と全国転勤ありを選択可能</t>
        </is>
      </c>
    </row>
    <row r="7">
      <c r="A7" t="inlineStr">
        <is>
          <t>求める人物像</t>
        </is>
      </c>
      <c r="B7" t="inlineStr">
        <is>
          <t>・新しいことに挑戦したい人
・チームや温かい社風の中で長く働きたい人
・ワークライフバランスを保ちながらキャリアアップしたい人
・安定した上場企業でじっくり成長したい人</t>
        </is>
      </c>
    </row>
    <row r="8">
      <c r="A8" t="inlineStr">
        <is>
          <t>ターゲット層の傾向</t>
        </is>
      </c>
      <c r="B8" t="inlineStr">
        <is>
          <t>【未経験・第二新卒・ワークライフバランス重視型】
・20代前半〜30代がメイン層（店舗メンバーは20〜30代が多い）
・前職：販売・接客・飲食・サービス業などのコミュニケーション系職種からの転職に親和性高め
・「残業少ない・商業施設内・反響型」の組み合わせがワークライフバランス重視の候補者に刺さる
・転勤あり/なしを選べる柔軟性も訴求ポイント
・東証上場企業の安定性を求めながらキャリアアップしたい層に向く</t>
        </is>
      </c>
    </row>
    <row r="9">
      <c r="A9" t="inlineStr">
        <is>
          <t>想定年収レンジ</t>
        </is>
      </c>
      <c r="B9" t="inlineStr">
        <is>
          <t>350万円〜410万円
＜全国転勤あり＞月給28万円〜＋賞与年2回
　基本給：222,000円＋全国転勤手当：30,000円＋固定残業15h：28,000円
＜エリア採用（転勤なし）＞月給25万円〜＋賞与年2回
　基本給：225,000円＋固定残業15h：25,000円
昇給：年2回／交通費全額支給</t>
        </is>
      </c>
    </row>
    <row r="10">
      <c r="A10" t="inlineStr">
        <is>
          <t>NG条件・懸念点</t>
        </is>
      </c>
      <c r="B10" t="inlineStr">
        <is>
          <t>【公式NG記載なし。以下は実務上の懸念点】
・年間休日116日・月7〜9日シフト制のため、土日祝完全休みを求める候補者には合わない
・勤務時間が9:00〜21:00（実働8h・商業施設の営業時間に準拠）のため、夜間シフトへの理解が必要
・入社時年収350〜410万はやや低め。成長スピードとの兼ね合いで説明が必要
・全国転勤ありの場合は転居を伴う異動の可能性あり（エリア採用で回避可能）</t>
        </is>
      </c>
    </row>
    <row r="11">
      <c r="A11" t="inlineStr">
        <is>
          <t>エージェントメモ
（裏の評価・社風）</t>
        </is>
      </c>
      <c r="B11" t="inlineStr">
        <is>
          <t>・「完全反響型・残業少・商業施設内」という3点セットは働き方訴求の刺さりが強い
・東証上場企業（バイセルテクノロジーズ）の安定性は、長期就業を求める候補者への訴求材料になる
・新宿サブナード店のGoogle口コミ4.8（652件）という顧客評価の高さは、会社への信頼感・誇りに繋がる
・1年程度での店長昇進事例あり。早期昇格を求める候補者へのキャリアパス訴求に使える
・「モノ（ブランド品・骨董・宝石）に毎日触れる仕事」という体験的な面白さはユニークな訴求ポイント
・NG評価ポイント：「土日祝完全休み必須・夜間シフト不可」の候補者は合わない</t>
        </is>
      </c>
    </row>
    <row r="12">
      <c r="A12" t="inlineStr">
        <is>
          <t>出典：求人票（株式会社BuySell Technologies（店舗事業本部））　※エージェントメモは求人票記載外の情報を含む</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求人票データ｜株式会社BuySell Technologies（フィールドセールス事業本部）</t>
        </is>
      </c>
    </row>
    <row r="2">
      <c r="A2" t="inlineStr">
        <is>
          <t>【フィールドセールス事業本部】買取訪問営業／完全反響型／未経験歓迎</t>
        </is>
      </c>
    </row>
    <row r="3">
      <c r="A3" t="inlineStr">
        <is>
          <t>掲載日</t>
        </is>
      </c>
      <c r="B3" t="inlineStr">
        <is>
          <t>2026/03/13</t>
        </is>
      </c>
    </row>
    <row r="4">
      <c r="A4" t="inlineStr">
        <is>
          <t>必須要件（Must）</t>
        </is>
      </c>
      <c r="B4" t="inlineStr">
        <is>
          <t>・高卒以上・正社員経験1年以上
・対面や電話でのコミュニケーションが苦にならない方
・普通自動車免許（要）
※業界・職種未経験歓迎</t>
        </is>
      </c>
    </row>
    <row r="5">
      <c r="A5" t="inlineStr">
        <is>
          <t>歓迎要件（Want）</t>
        </is>
      </c>
      <c r="B5" t="inlineStr">
        <is>
          <t>・営業経験のある方（法人・個人問わず、業界不問）
・人とコミュニケーションをとることが好きな方</t>
        </is>
      </c>
    </row>
    <row r="6">
      <c r="A6" t="inlineStr">
        <is>
          <t>仕事内容（概要）</t>
        </is>
      </c>
      <c r="B6" t="inlineStr">
        <is>
          <t>リユース業界初の「無店舗出張型」サービスにて、お問い合わせをいただいた個人のお客様宅へ出向き、着物・ブランド品・骨董品などの買取営業を行うポジション。
テレアポ・飛び込みなし、完全反響型の訪問営業。
【入社後の流れ】
▼東京本社にて2ヶ月間の研修（商品知識・ビジネスマナー・着物の畳み方等）
▼配属先拠点にてOJT開始
【キャリアパス】
チーフ→リーダー→スーパーバイザー（SV）→支店長（年功序列なし・実力主義）
★入社2年半でSV昇格・入社4年で支店長昇格の実績あり
★成約率約80%（完全反響型）
【年収実績例】
・510万円：23歳・入社1年目
・850万円：25歳・入社2年目
・1,000万円：28歳・入社3年目</t>
        </is>
      </c>
    </row>
    <row r="7">
      <c r="A7" t="inlineStr">
        <is>
          <t>求める人物像</t>
        </is>
      </c>
      <c r="B7" t="inlineStr">
        <is>
          <t>・未経験でも営業職として成長したい人
・早期でのキャリアアップ・稼ぎを目指したい人
・お客様に寄り添う提案営業を経験したい人
・安定と成長を両立したい人</t>
        </is>
      </c>
    </row>
    <row r="8">
      <c r="A8" t="inlineStr">
        <is>
          <t>ターゲット層の傾向</t>
        </is>
      </c>
      <c r="B8" t="inlineStr">
        <is>
          <t>【未経験・第二新卒・インセンティブ志向型】
・20代前半〜後半がメイン層（23〜28歳の年収実績が豊富）
・前職：営業・販売・接客・ドライバー系など対人・行動系職種に親和性高め
・「完全反響型×成約率80%×インセンティブで20代から稼げる」訴求が成果主義志向の候補者に刺さる
・エリア採用（転勤なし）と全国転勤ありを選択可能
・東証上場企業の安定性を持ちながら実力次第で高収入を狙える点が「安定＋成長」志向層にも向く</t>
        </is>
      </c>
    </row>
    <row r="9">
      <c r="A9" t="inlineStr">
        <is>
          <t>想定年収レンジ</t>
        </is>
      </c>
      <c r="B9" t="inlineStr">
        <is>
          <t>350万円〜500万円（固定給ベース）
＜全国転勤あり＞月給30万円〜＋インセンティブ＋賞与年2回
　基本給：195,000円＋職務手当：20,000円＋転勤手当：30,000円＋固定残業30h：55,000円
＜エリア採用（転勤なし）＞月給27万円〜＋インセンティブ＋賞与年2回
　基本給：200,000円＋職務手当：20,000円＋固定残業30h：50,000円
昇給：年2回
【年収実績】510万（23歳・1年目）/ 850万（25歳・2年目）/ 1,000万（28歳・3年目）</t>
        </is>
      </c>
    </row>
    <row r="10">
      <c r="A10" t="inlineStr">
        <is>
          <t>NG条件・懸念点</t>
        </is>
      </c>
      <c r="B10" t="inlineStr">
        <is>
          <t>【公式NG記載なし。以下は実務上の懸念点】
・普通自動車免許が必須
・固定残業30h含む給与体系のため実質的な時給は確認要
・年間休日116日・シフト制のため、土日祝完全休みを求める候補者には合わない
・全国転勤ありの場合は転居を伴う異動あり
・訪問買取のため、1日の行動量・移動距離が多い。体力面への理解が必要</t>
        </is>
      </c>
    </row>
    <row r="11">
      <c r="A11" t="inlineStr">
        <is>
          <t>エージェントメモ
（裏の評価・社風）</t>
        </is>
      </c>
      <c r="B11" t="inlineStr">
        <is>
          <t>・「完全反響型・成約率80%」という営業環境の良さは、ノルマ苦手・新規開拓に疲れた候補者への強いフック
・インセンティブによる高年収実績（23歳510万・25歳850万）は数字に訴求できる唯一無二の材料
・東証プライム上場・連結2,336名の安定企業であることは、転職リスクを抑えたい候補者の安心材料
・昇格基準が明確（チーフ→リーダー→SV→支店長）で年功序列なしの実力主義は、早期昇格志向者に刺さる
・リユース市場は社会的追い風（サステナブル・環境意識の高まり）があり、ビジョン訴求もしやすい
・NG評価ポイント：「土日祝完全休み必須・運転が苦手・体力的に外回りが難しい・インセンティブ否定的」の候補者は合わない</t>
        </is>
      </c>
    </row>
    <row r="12">
      <c r="A12" t="inlineStr">
        <is>
          <t>出典：求人票（株式会社BuySell Technologies（フィールドセールス事業本部））　※エージェントメモは求人票記載外の情報を含む</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求人票データ｜イシン株式会社</t>
        </is>
      </c>
    </row>
    <row r="2">
      <c r="A2" t="inlineStr">
        <is>
          <t>【地方公務員特化・新規事業立ち上げ】両面型人材コンサルタント</t>
        </is>
      </c>
    </row>
    <row r="3">
      <c r="A3" t="inlineStr">
        <is>
          <t>掲載日</t>
        </is>
      </c>
      <c r="B3" t="inlineStr">
        <is>
          <t>2026/03/13</t>
        </is>
      </c>
    </row>
    <row r="4">
      <c r="A4" t="inlineStr">
        <is>
          <t>必須要件（Must）</t>
        </is>
      </c>
      <c r="B4" t="inlineStr">
        <is>
          <t>・スキル・経験不問（未経験可）
・現職で目標のある販売・接客業に携わっている方
　または、学生時代を含め目標を掲げて打ち込んできたご経験がある方</t>
        </is>
      </c>
    </row>
    <row r="5">
      <c r="A5" t="inlineStr">
        <is>
          <t>歓迎要件（Want）</t>
        </is>
      </c>
      <c r="B5" t="inlineStr">
        <is>
          <t>・営業経験者（業種不問）
・公務員・行政・自治体との接点がある方
・ベンチャー・新規事業立ち上げ環境を求める方
・事業家・マネージャーとしてのキャリアを目指す方</t>
        </is>
      </c>
    </row>
    <row r="6">
      <c r="A6" t="inlineStr">
        <is>
          <t>仕事内容（概要）</t>
        </is>
      </c>
      <c r="B6" t="inlineStr">
        <is>
          <t>地方公務員特化の転職エージェント事業（新規立ち上げ）にて両面型人材コンサルタントとして従事。
【CA業務70%】
・スカウト送付・問い合わせ対応・自社セミナー参加者へのアプローチによる集客
・オンラインキャリア面談（30〜45分）実施・キャリア軸のヒアリング
・求人提案・書類添削・面接対策〜内定まで一貫サポート
【RA業務20%】
・既存顧客（自治体通信・ベストベンチャー100クライアント）へのアプローチ（新規法人開拓なし）
・採用コンサルティング・スペシャルパートナー活動
【事業開発業務10%】
・マーケティング企画・業務フロー構築など
★執行役員直下ポジション。事業の仕組みづくり・戦略立案にも関与可能</t>
        </is>
      </c>
    </row>
    <row r="7">
      <c r="A7" t="inlineStr">
        <is>
          <t>求める人物像</t>
        </is>
      </c>
      <c r="B7" t="inlineStr">
        <is>
          <t>・成長意欲・向上心が高い方
・目標を掲げてやり切った経験がある方
・事業家として成長したい方
・公務員という特化領域に興味・共感がある方
・チームワークを大切にできる方</t>
        </is>
      </c>
    </row>
    <row r="8">
      <c r="A8" t="inlineStr">
        <is>
          <t>ターゲット層の傾向</t>
        </is>
      </c>
      <c r="B8" t="inlineStr">
        <is>
          <t>【新規事業・成長志向・ポテンシャル重視型】
・第二新卒〜20代後半がメイン層
・未経験・異業種歓迎（販売・接客・営業経験者に親和性高め）
・公務員出身者や行政に関心のある人材は特に◎
・「事業を一から作りたい・裁量を持って働きたい」動機が強い人材が向く
・平均年齢は若め、執行役員直下という希少性ある環境</t>
        </is>
      </c>
    </row>
    <row r="9">
      <c r="A9" t="inlineStr">
        <is>
          <t>想定年収レンジ</t>
        </is>
      </c>
      <c r="B9" t="inlineStr">
        <is>
          <t>440万〜754万円
月給：302,500円〜（固定残業30時間分含む、超過分は別途全額支給）
昇給：年2回（人事評価による）
賞与：年2回（業績による）＋営業インセンティブ＋MVP特別賞与
【勤務時間】10:00〜19:00（Select Work制度あり：9:00〜18:00も選択可）
平均残業：月19時間（2024年度下半期実績）
年間休日125日（土日祝・完全週休2日）
試用期間3ヶ月（待遇・条件は本採用と同じ）
試用期間中は原則出社、終了後は週3〜4日出社＋週1〜2日在宅</t>
        </is>
      </c>
    </row>
    <row r="10">
      <c r="A10" t="inlineStr">
        <is>
          <t>NG条件・懸念点</t>
        </is>
      </c>
      <c r="B10" t="inlineStr">
        <is>
          <t>【公式NG記載なし。以下は実務上の懸念点】
・安定志向・指示待ちタイプは立ち上げ期の文化と合わない可能性
・新規事業フェーズのため制度・環境が流動的（変化を嫌う候補者には注意）
・勤務地：品川（東京）のため、通勤可能な候補者が対象
・公務員特化という非常にニッチなマーケットのため、市場認知がまだ低い
・CA/RA両面＋事業開発と業務範囲が広く、立ち上げ期は負荷が高い可能性</t>
        </is>
      </c>
    </row>
    <row r="11">
      <c r="A11" t="inlineStr">
        <is>
          <t>エージェントメモ
（裏の評価・社風）</t>
        </is>
      </c>
      <c r="B11" t="inlineStr">
        <is>
          <t>・東証グロース上場（2024年3月）の人材系企業。上場直後の成長ストーリーを語りやすい
・「地方公務員特化」という唯一無二のポジショニングで競合がほぼいない希少性ある事業
・既存メディア事業（自治体通信・ベストベンチャー100）のクライアント基盤を活用できるためRA側は新規法人開拓なし
・執行役員直下ポジション・初期メンバーとしての事業参画は裁量志向・成長意欲の高い候補者に刺さる
・「公務員のキャリアを切り拓く」という社会的ミッションは共感フックとして使いやすい
・NG評価ポイントとして「安定志向・ルーティン好き・変化を嫌う」タイプは合わない</t>
        </is>
      </c>
    </row>
    <row r="12">
      <c r="A12" t="inlineStr">
        <is>
          <t>出典：求人票（イシン株式会社）　※エージェントメモは求人票記載外の情報を含む</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求人票データ｜株式会社ヤマシタ</t>
        </is>
      </c>
    </row>
    <row r="2">
      <c r="A2" t="inlineStr">
        <is>
          <t>営業職（ルート営業）／福祉用具レンタル・販売／全国拠点有</t>
        </is>
      </c>
    </row>
    <row r="3">
      <c r="A3" t="inlineStr">
        <is>
          <t>掲載日</t>
        </is>
      </c>
      <c r="B3" t="inlineStr">
        <is>
          <t>2026/03/13</t>
        </is>
      </c>
    </row>
    <row r="4">
      <c r="A4" t="inlineStr">
        <is>
          <t>必須要件（Must）</t>
        </is>
      </c>
      <c r="B4" t="inlineStr">
        <is>
          <t>・営業・販売など顧客折衝の経験
・社会人経験2年以上
・普通自動車免許（第一種）
・高卒以上
※アパレル・スマートフォン・自動車販売等、サービス業界からの採用実績あり</t>
        </is>
      </c>
    </row>
    <row r="5">
      <c r="A5" t="inlineStr">
        <is>
          <t>歓迎要件（Want）</t>
        </is>
      </c>
      <c r="B5" t="inlineStr">
        <is>
          <t>・目標達成志向が高い方
・チームで連携して業務を遂行できる方
・同業（介護・医療・福祉）経験者</t>
        </is>
      </c>
    </row>
    <row r="6">
      <c r="A6" t="inlineStr">
        <is>
          <t>仕事内容（概要）</t>
        </is>
      </c>
      <c r="B6" t="inlineStr">
        <is>
          <t>居宅介護支援事業者（ケアマネジャー）へ介護用品のレンタル・販売を行うルート営業職。
■主な業務
・ケアマネジャーへのルート営業・関係構築
・ケアマネジャー紹介の利用者（個人）へ最適な福祉用具の選定・提案
・納品・アフターフォロー（用具が適切に使われているか確認）
・住宅改修（手すり設置等）のプランニング
■取扱商材
介護ベッド・車いす・歩行器・入浴関連用品・排泄関連用品・生活関連用品 等
★新規開拓なし。ケアマネジャーとの信頼関係構築を主軸とした提案型ルート営業</t>
        </is>
      </c>
    </row>
    <row r="7">
      <c r="A7" t="inlineStr">
        <is>
          <t>求める人物像</t>
        </is>
      </c>
      <c r="B7" t="inlineStr">
        <is>
          <t>・顧客に寄り添い、信頼関係を丁寧に構築できる人
・要望の先にある潜在ニーズを発掘し提案できる人
・社会貢献性の高い仕事にやりがいを感じられる人
・チームで連携しながら業務を進められる人</t>
        </is>
      </c>
    </row>
    <row r="8">
      <c r="A8" t="inlineStr">
        <is>
          <t>ターゲット層の傾向</t>
        </is>
      </c>
      <c r="B8" t="inlineStr">
        <is>
          <t>【対人支援型・安定志向・社会貢献重視型】
・アパレル・スマホ販売・自動車販売・飲食などサービス業出身者との親和性が高い
・「稼ぎたい」より「長く安定して働きたい・社会に貢献したい」動機の層が向く
・介護・医療業界未経験でも可（研修制度充実）
・全国42都道府県に拠点あり、地方勤務希望者にも対応可
・ルート営業のため、飛び込み・テレアポが苦手な候補者に訴求しやすい</t>
        </is>
      </c>
    </row>
    <row r="9">
      <c r="A9" t="inlineStr">
        <is>
          <t>想定年収レンジ</t>
        </is>
      </c>
      <c r="B9" t="inlineStr">
        <is>
          <t>382万〜558万円
月給：249,000円〜363,000円（10時間分の見込残業代含む、超過分は1分単位で別途支給）
平均残業：月20時間
【モデル年収】
・営業リーダー（入社3年目）：625万円（月給36万＋賞与＋諸手当）
・所長（入社5年目）：760万円（月給44万＋賞与＋諸手当）
年間休日120日以上（夏季・年末年始・有給・積立有給・特別休暇等）
シフト制：月1〜3日程度土日祝出勤あり（振替休日取得）
勤務時間：9:00〜18:00
試用期間：記載なし</t>
        </is>
      </c>
    </row>
    <row r="10">
      <c r="A10" t="inlineStr">
        <is>
          <t>NG条件・懸念点</t>
        </is>
      </c>
      <c r="B10" t="inlineStr">
        <is>
          <t>【公式NG記載なし。以下は実務上の懸念点】
・普通自動車免許が必須（未取得者は応募不可）
・シフト制で月1〜3日の土日祝出勤あり（完全土日休み希望者には事前説明必要）
・転勤の可能性あり（全国42都道府県に拠点）
・社会人経験2年未満はMust条件に抵触
・介護・医療の専門知識習得が必要（資格取得支援あり）
・年収レンジは業界水準並みで、高収入志向の候補者には響きにくい</t>
        </is>
      </c>
    </row>
    <row r="11">
      <c r="A11" t="inlineStr">
        <is>
          <t>エージェントメモ
（裏の評価・社風）</t>
        </is>
      </c>
      <c r="B11" t="inlineStr">
        <is>
          <t>・創業60年超・売上303億円・従業員2,586名の業界大手。安定感の訴求が非常にしやすい
・介護用品レンタルは超高齢社会を背景に安定需要があり、景気変動の影響を受けにくい
・「ルート営業×社会貢献性」の組み合わせは、対人支援型・安定志向候補者への強い訴求ポイント
・福祉用具専門相談員・福祉用具選定士・福祉用具プランナー等の資格支援が充実
・転勤サポートプログラム（借り上げ社宅・引越費用・単身赴任手当）は転勤可能な候補者への訴求になる
・NG評価ポイント：「インセンティブで大きく稼ぎたい・新規開拓型の営業がしたい・IT/スタートアップ環境を求める」タイプには合わない</t>
        </is>
      </c>
    </row>
    <row r="12">
      <c r="A12" t="inlineStr">
        <is>
          <t>出典：求人票（株式会社ヤマシタ）　※エージェントメモは求人票記載外の情報を含む</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求人票データ｜株式会社セレブリックス セールスカンパニー（チャネル戦略事業本部）</t>
        </is>
      </c>
    </row>
    <row r="2">
      <c r="A2" t="inlineStr">
        <is>
          <t>リテール向け営業職（チャネル戦略事業本部）／営業代行・トレードマーケティング</t>
        </is>
      </c>
    </row>
    <row r="3">
      <c r="A3" t="inlineStr">
        <is>
          <t>掲載日</t>
        </is>
      </c>
      <c r="B3" t="inlineStr">
        <is>
          <t>2026/03/13</t>
        </is>
      </c>
    </row>
    <row r="4">
      <c r="A4" t="inlineStr">
        <is>
          <t>必須要件（Must）</t>
        </is>
      </c>
      <c r="B4" t="inlineStr">
        <is>
          <t>・社会人経験半年以上
・以下いずれかの経験：
　①対法人アポイント獲得経験
　②商材問わず提案営業経験
　③個人数字目標をもっての接客経験</t>
        </is>
      </c>
    </row>
    <row r="5">
      <c r="A5" t="inlineStr">
        <is>
          <t>歓迎要件（Want）</t>
        </is>
      </c>
      <c r="B5" t="inlineStr">
        <is>
          <t>・法人営業・提案営業の経験
・インサイドセールス・フィールドセールス経験
・チャネル開拓・販路拡大の経験</t>
        </is>
      </c>
    </row>
    <row r="6">
      <c r="A6" t="inlineStr">
        <is>
          <t>仕事内容（概要）</t>
        </is>
      </c>
      <c r="B6" t="inlineStr">
        <is>
          <t>飲食店・美容院・ホテル・温浴施設・小売チェーンなど店舗・施設を対象に、クライアント企業が「売ってほしい」商材のアポイント獲得・商談を担当する営業代行ポジション。
【支援領域】
①トレードマーケティング支援：日用品グローバルメーカーの営業代行として小売チェーン本部バイヤーへ商談・販路拡大
②チャネル開拓支援：スタートアップ化粧品メーカーの販売チャネル開拓・ブランド認知向上の企画・提案・実行
③リテール向け営業代行：小売・飲食店へクライアントに代わり営業活動
★扱う商材は多岐（サウナ施設新チャネル開拓、漫画コーナー設置、大手日用品メーカー既存営業など）
★プロジェクトにより客先常駐あり（有明本社 or 新宿サテライト）
★毎月1日入社のみ（月中入社不可）
★最終的にはPL（プロジェクトリーダー）→マネージャーへのキャリアパス</t>
        </is>
      </c>
    </row>
    <row r="7">
      <c r="A7" t="inlineStr">
        <is>
          <t>求める人物像</t>
        </is>
      </c>
      <c r="B7" t="inlineStr">
        <is>
          <t>・多様な業界・商材を経験しながら営業スキルを磨きたい人
・将来的にマネジメントを目指したい人
・チームで動くことにやりがいを感じる人
・データと論理で営業を改善したい人</t>
        </is>
      </c>
    </row>
    <row r="8">
      <c r="A8" t="inlineStr">
        <is>
          <t>ターゲット層の傾向</t>
        </is>
      </c>
      <c r="B8" t="inlineStr">
        <is>
          <t>【多様な業界経験志向・成長型／社会人経験半年以上から歓迎】
・第二新卒〜20代後半がメイン層
・前職：接客・販売・営業経験者に親和性高め（社会人半年以上から応募可）
・「1社に縛られず多彩なプロジェクトを経験したい」候補者への訴求が強い
・博報堂グループの安定性×ベンチャー気質のカルチャーという組み合わせが刺さる
・営業代行という特性上、様々な業界知識が身につくことへの魅力を感じる人に向く</t>
        </is>
      </c>
    </row>
    <row r="9">
      <c r="A9" t="inlineStr">
        <is>
          <t>想定年収レンジ</t>
        </is>
      </c>
      <c r="B9" t="inlineStr">
        <is>
          <t>336万円〜420万円
月給：280,000円〜350,000円
みなし残業代（月45h分 / 73,305円〜）含む、超過分別途支給
※半期年棒制
※経験・スキルにより最下限を下回ることもある
【キャリア別年収】
・プロジェクトリーダー：年収420万円〜
・マネージャー：年収600万円前後
給与改定：年2回（査定あり）</t>
        </is>
      </c>
    </row>
    <row r="10">
      <c r="A10" t="inlineStr">
        <is>
          <t>NG条件・懸念点</t>
        </is>
      </c>
      <c r="B10" t="inlineStr">
        <is>
          <t>【公式NG記載なし。以下は実務上の懸念点】
・プロジェクトにより客先常駐あり（勤務地が変動）
・シフト制勤務（10:00〜19:00基本だがPJにより異なる）
・毎月1日入社のみ・月中入社不可のため、入社タイミングの調整が必要
・みなし残業45h含む給与体系のため実質的な時給は要確認
・入社時年収336〜420万はやや低め。成長スピードとセットで説明必要</t>
        </is>
      </c>
    </row>
    <row r="11">
      <c r="A11" t="inlineStr">
        <is>
          <t>エージェントメモ
（裏の評価・社風）</t>
        </is>
      </c>
      <c r="B11" t="inlineStr">
        <is>
          <t>・既存のセレブリックス（営業プレイヤー職）と同社の別ポジション。リテール・チャネル戦略特化という点が差別化ポイント
・「大手クライアントの営業代行」から「スタートアップの新規チャネル開拓」まで幅広い案件を経験できる点は、成長志向候補者へのフックになる
・博報堂グループの安定性は同様に訴求しやすい
・プロジェクト単位で動くため、飽きがなく多様な経験ができる点は「ルーティン仕事に飽きた」候補者に刺さる
・NG評価ポイント：「勤務地固定を求める・シフト勤務不可・月中入社希望」の候補者は合わない</t>
        </is>
      </c>
    </row>
    <row r="12">
      <c r="A12" t="inlineStr">
        <is>
          <t>出典：求人票（株式会社セレブリックス セールスカンパニー（チャネル戦略事業本部））　※エージェントメモは求人票記載外の情報を含む</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求人票データ｜ヴォイスキャリアコンサルティング株式会社</t>
        </is>
      </c>
    </row>
    <row r="2">
      <c r="A2" t="inlineStr">
        <is>
          <t>両面型キャリアアドバイザー（CA＆法人営業）／渋谷・神泉／少数精鋭</t>
        </is>
      </c>
    </row>
    <row r="3">
      <c r="A3" t="inlineStr">
        <is>
          <t>掲載日</t>
        </is>
      </c>
      <c r="B3" t="inlineStr">
        <is>
          <t>2026/03/13</t>
        </is>
      </c>
    </row>
    <row r="4">
      <c r="A4" t="inlineStr">
        <is>
          <t>必須要件（Must）</t>
        </is>
      </c>
      <c r="B4" t="inlineStr">
        <is>
          <t>・未経験歓迎
・高校卒業以上
・禁煙者（禁煙企業のため喫煙者不可）</t>
        </is>
      </c>
    </row>
    <row r="5">
      <c r="A5" t="inlineStr">
        <is>
          <t>歓迎要件（Want）</t>
        </is>
      </c>
      <c r="B5" t="inlineStr">
        <is>
          <t>・人材業界の営業職経験（人材紹介・派遣・求人広告）
・業界不問の営業経験（メーカー・商社・IT・不動産など）
・販売経験（アパレル・雑貨・通信など）
・マネジメント経験
・ウェディングプランナー・保育士・栄養士など（営業・販売経験なしでも入社実績あり）</t>
        </is>
      </c>
    </row>
    <row r="6">
      <c r="A6" t="inlineStr">
        <is>
          <t>仕事内容（概要）</t>
        </is>
      </c>
      <c r="B6" t="inlineStr">
        <is>
          <t>CA（キャリアアドバイザー）と法人営業（RA）を一気通貫で担う両面型ポジション。
【CA業務】
・新規求職者と月間30面談実施、月間3名の決定を目標
・カウンセリング・求人提案・書類作成・選考手配・面接対策
・各種スカウト媒体を利用してメールで集客
【法人営業業務】
・人事・役員・経営者へのアポイント獲得
・人材要件のヒアリングと契約締結
・求人票の作成・周知・選考手配・フォローアップ
★キャリアチェンジ制度あり（CA専任/法人専任/両面の3職種を申請により変更可）
★ミスマッチのない紹介を重視（短期離職発生時は紹介料を返金する文化）
★代表自らが教育担当（全国3000人中決定数1位の実績者が育成）
★少数精鋭7名の組織（転職エージェントアワード総合満足度全国2位）</t>
        </is>
      </c>
    </row>
    <row r="7">
      <c r="A7" t="inlineStr">
        <is>
          <t>求める人物像</t>
        </is>
      </c>
      <c r="B7" t="inlineStr">
        <is>
          <t>・成長意欲の高い人
・明るく元気な対応ができる人
・人の話を素直に受け止められる人
・自立自走して仕事を進められる人
・利他主義な人</t>
        </is>
      </c>
    </row>
    <row r="8">
      <c r="A8" t="inlineStr">
        <is>
          <t>ターゲット層の傾向</t>
        </is>
      </c>
      <c r="B8" t="inlineStr">
        <is>
          <t>【未経験歓迎・成長志向・少数精鋭環境希望型】
・第二新卒〜20代後半がメイン層
・前職：販売・接客・営業・マネジメント経験者に親和性高め（保育士・栄養士など非営業職からの入社実績もあり）
・「少数精鋭で代表直下で育てられる」環境を求める候補者に刺さる
・「エージェントアワード全国1位」という実績は、プロに育ちたい候補者への強いフック
・体育会系マネジメントNGの文化は、ガツガツした環境を避けたい候補者にも訴求可</t>
        </is>
      </c>
    </row>
    <row r="9">
      <c r="A9" t="inlineStr">
        <is>
          <t>想定年収レンジ</t>
        </is>
      </c>
      <c r="B9" t="inlineStr">
        <is>
          <t>想定年収：380万円〜500万円（1年目）
月給：25万円〜30万円＋インセンティブ
【グレード別月給】
・メンバー：25万円
・チーフ：27万5千円
・リーダー：32万5千円
・プロフェッショナル：40万円
※3ヶ月ごとに昇給昇格チャンス
【インセンティブ】
・月次：1〜50万円
・3ヶ月毎：3〜100万円
【年収推移目安】
1年目：380〜500万 / 2年目：400〜600万 / 3年目：450〜800万
住宅手当：5万円/月（自宅〜会社30分以内の賃貸居住者）</t>
        </is>
      </c>
    </row>
    <row r="10">
      <c r="A10" t="inlineStr">
        <is>
          <t>NG条件・懸念点</t>
        </is>
      </c>
      <c r="B10" t="inlineStr">
        <is>
          <t>【公式NG記載なし。以下は実務上の懸念点】
・社員7名の少数精鋭組織のため、組織の安定性・将来性を気にする候補者には説明が必要
・禁煙企業のため喫煙者は応募不可（必ず事前確認）
・3次面接がオフィス対面（代表面接）のため、首都圏外の候補者はオンライン対応を要確認
・面接前日までにWEB性格診断（80分）の受験が必須
・月30面談・月3名決定という明確な数値目標があるため、数字へのコミットが苦手な候補者には合わない</t>
        </is>
      </c>
    </row>
    <row r="11">
      <c r="A11" t="inlineStr">
        <is>
          <t>エージェントメモ
（裏の評価・社風）</t>
        </is>
      </c>
      <c r="B11" t="inlineStr">
        <is>
          <t>・全国3000人中決定数1位・満足度全国2位という実績は、圧倒的な差別化訴求材料。「トップエージェントに育ててもらえる」というストーリーが刺さる
・代表自らが教育担当という少数精鋭の育成環境は、「量より質で育ちたい」候補者に響く
・ミスマッチを防ぐ紹介スタンス（短期離職時は返金）という誠実な文化は、「売り上げ至上主義でない環境」を求める候補者へのフックになる
・住宅手当5万円は実質的な大きな報酬アップになる（月収例：メンバーでも35万円）
・NG評価ポイント：「喫煙者・大規模組織志向・数字へのコミットが苦手・体育会系を好む」候補者は合わない</t>
        </is>
      </c>
    </row>
    <row r="12">
      <c r="A12" t="inlineStr">
        <is>
          <t>出典：求人票（ヴォイスキャリアコンサルティング株式会社）　※エージェントメモは求人票記載外の情報を含む</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求人票データ｜株式会社アーキベース</t>
        </is>
      </c>
    </row>
    <row r="2">
      <c r="A2" t="inlineStr">
        <is>
          <t>【業界未経験歓迎】両面型キャリアアドバイザー／住環境領域特化／飯田橋</t>
        </is>
      </c>
    </row>
    <row r="3">
      <c r="A3" t="inlineStr">
        <is>
          <t>掲載日</t>
        </is>
      </c>
      <c r="B3" t="inlineStr">
        <is>
          <t>2026/03/13</t>
        </is>
      </c>
    </row>
    <row r="4">
      <c r="A4" t="inlineStr">
        <is>
          <t>必須要件（Must）</t>
        </is>
      </c>
      <c r="B4" t="inlineStr">
        <is>
          <t>34歳以下、大卒以上、離職済みでないこと</t>
        </is>
      </c>
    </row>
    <row r="5">
      <c r="A5" t="inlineStr">
        <is>
          <t>歓迎要件（Want）</t>
        </is>
      </c>
      <c r="B5" t="inlineStr">
        <is>
          <t>・数字目標に対するコミットメントのご経験
・内発的動機の強い方
・積極的な自己変容のご経験
・アーキベースのValue/Credoに共感いただける方</t>
        </is>
      </c>
    </row>
    <row r="6">
      <c r="A6" t="inlineStr">
        <is>
          <t>仕事内容（概要）</t>
        </is>
      </c>
      <c r="B6" t="inlineStr">
        <is>
          <t>住環境領域（建設・不動産・エネルギーなど）特化の転職プラットフォーム「建職バンク」を軸としたCA両面型ポジション。
転職相談〜求人紹介〜面接対策〜選考調整〜入社フォローまで一気通貫で担当。法人側のコミュニケーションもCAが両面で担うため、条件交渉・選考フォローがしやすい。
★自社媒体・WEB広告での集客力が高くスカウト業務などの事務作業が少ない
★早期マネジメントコース：チームリーダー（入社半年〜1年）→事業責任者（入社2〜3年）
★事業開発コース・キャリアチェンジコース・スペシャリストコースなど多彩なキャリアパス
★2017年設立・業績好調による増員募集（今後も4つの新規事業立ち上げ予定）</t>
        </is>
      </c>
    </row>
    <row r="7">
      <c r="A7" t="inlineStr">
        <is>
          <t>求める人物像</t>
        </is>
      </c>
      <c r="B7" t="inlineStr">
        <is>
          <t>・早期のキャリアアップを目指す人
・挑戦心のある人
・ビジネススキルを高めたい人
※目標を追うことに抵抗がある方・変化の大きな環境が苦手な方には不向き</t>
        </is>
      </c>
    </row>
    <row r="8">
      <c r="A8" t="inlineStr">
        <is>
          <t>ターゲット層の傾向</t>
        </is>
      </c>
      <c r="B8" t="inlineStr">
        <is>
          <t>【販売職経験者・成果志向・成長環境志向型】
・20代前半〜後半がメイン層
・前職：販売職経験者が必須要件のため、小売・アパレル・サービス業などからの転職に親和性高め
・「目標達成率100%以上または上位20%」という明確なスクリーニングがあるため、実績を持つ候補者向け
・住環境（建設・不動産・エネルギー）という特化領域に興味を持てる候補者が向く
・早期マネジメント志向の候補者に訴求力が高い</t>
        </is>
      </c>
    </row>
    <row r="9">
      <c r="A9" t="inlineStr">
        <is>
          <t>想定年収レンジ</t>
        </is>
      </c>
      <c r="B9" t="inlineStr">
        <is>
          <t>405万円〜730万円
月収：338,000円〜398,000円
固定残業代（45h）：87,381円〜102,892円含む
賞与：年2回（業績連動）
昇給：年2回（1月・7月）
住宅手当：最寄り駅が会社最寄り駅から2駅以内の場合2万円/月
年間休日：120日（完全週休2日・土日・祝日）</t>
        </is>
      </c>
    </row>
    <row r="10">
      <c r="A10" t="inlineStr">
        <is>
          <t>NG条件・懸念点</t>
        </is>
      </c>
      <c r="B10" t="inlineStr">
        <is>
          <t>【公式NG記載なし。以下は実務上の懸念点】
・販売職経験かつ目標達成率100%以上または上位20%以内が必須のため、未経験や実績が低い候補者は対象外
・固定残業45h含む給与体系のため実質的な時給は確認要
・住環境（建設・不動産・エネルギー）というニッチな特化領域のため、業界への興味・親和性が選考上重要
・変化の大きな環境（事業拡大中・新規事業多数）が苦手な候補者には合わない
・適性検査あり（書類選考→オンライン面接2〜3回＆適性検査）</t>
        </is>
      </c>
    </row>
    <row r="11">
      <c r="A11" t="inlineStr">
        <is>
          <t>エージェントメモ
（裏の評価・社風）</t>
        </is>
      </c>
      <c r="B11" t="inlineStr">
        <is>
          <t>・「建職バンク」という自社媒体を持つ点は、「集客を自分でやらなくていい」というCA環境の良さとして訴求しやすい
・早期マネジメント（入社半年〜1年でリーダー）という具体的なキャリアパスは、昇格志向の候補者への強いフック
・両面型CAのため、法人・個人双方の折衝スキルが身につく点はキャリア形成の観点で訴求できる
・販売職経験者が必須のため、「自分の接客・販売スキルをCA業務に活かしたい」候補者へのピンポイント訴求が可能
・NG評価ポイント：「数字コミットが苦手・変化を嫌う・販売職経験なし・目標達成実績が低い」候補者は合わない</t>
        </is>
      </c>
    </row>
    <row r="12">
      <c r="A12" t="inlineStr">
        <is>
          <t>出典：求人票（株式会社アーキベース）　※エージェントメモは求人票記載外の情報を含む</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求人票データ｜株式会社Geekly</t>
        </is>
      </c>
    </row>
    <row r="2">
      <c r="A2" t="inlineStr">
        <is>
          <t>【東京・渋谷】CA/RAオープンポジション／IT特化人材紹介／未経験歓迎</t>
        </is>
      </c>
    </row>
    <row r="3">
      <c r="A3" t="inlineStr">
        <is>
          <t>掲載日</t>
        </is>
      </c>
      <c r="B3" t="inlineStr">
        <is>
          <t>2026/03/13</t>
        </is>
      </c>
    </row>
    <row r="4">
      <c r="A4" t="inlineStr">
        <is>
          <t>必須要件（Must）</t>
        </is>
      </c>
      <c r="B4" t="inlineStr">
        <is>
          <t>・社会人経験2年以上
・数字を追った経験またはマネジメントのご経験
※IT・Web知識不要（9割がIT知識ゼロで入社）</t>
        </is>
      </c>
    </row>
    <row r="5">
      <c r="A5" t="inlineStr">
        <is>
          <t>歓迎要件（Want）</t>
        </is>
      </c>
      <c r="B5" t="inlineStr">
        <is>
          <t>・IT/Web/ゲーム業界向けのビジネス経験（知識不要）</t>
        </is>
      </c>
    </row>
    <row r="6">
      <c r="A6" t="inlineStr">
        <is>
          <t>仕事内容（概要）</t>
        </is>
      </c>
      <c r="B6" t="inlineStr">
        <is>
          <t>IT人材特化の人材紹介事業にて、CA（キャリアアドバイザー）またはRA（リクルーティングアドバイザー）のいずれかを担当するオープンポジション。
【CA業務】
求職者と面談→適性・希望を引き出し合った求人を紹介→面接対策等、入社までフォロー
【RA業務】
企業の人事・代表へ人事課題をヒアリング→マッチした候補者を紹介→採用決定まで伴走
★累計支援人数80,000名以上・入社後活躍率90%・希望IT職種への成功割合95%
★製造業・商社・金融機関などDX投資積極企業の非IT企業求人も多数保有（競合比で強い求人提案力）
★タレント起用の広告宣伝費を積極投下しブランド認知拡大中
★社内DX化・マーケのインハウス化・マニュアル1000本以上と仕組みが整っている
★副業可（条件あり）・リフレッシュ休暇（3ヶ月に1度）あり</t>
        </is>
      </c>
    </row>
    <row r="7">
      <c r="A7" t="inlineStr">
        <is>
          <t>求める人物像</t>
        </is>
      </c>
      <c r="B7" t="inlineStr">
        <is>
          <t>・数字にコミットしながらIT業界の知識を身につけたい人
・IT転職の価値提供に興味がある人
・仕組み化・データ活用がしっかりした環境で働きたい人</t>
        </is>
      </c>
    </row>
    <row r="8">
      <c r="A8" t="inlineStr">
        <is>
          <t>ターゲット層の傾向</t>
        </is>
      </c>
      <c r="B8" t="inlineStr">
        <is>
          <t>【社会人経験2年以上・数字志向・IT業界への興味あり型】
・20代後半〜30代前半がメイン層
・前職：数字を追ってきた営業・販売系経験者に親和性高め
・「IT知識ゼロOK・業界特化で専門性が身につく」という組み合わせが、IT業界にキャリアチェンジしたい候補者に刺さる
・CA/RAどちらを担当するかはオープン選考のため、適性見極めが選考の重要ポイント
・副業OK・リフレッシュ休暇などの柔軟な働き方制度も訴求できる</t>
        </is>
      </c>
    </row>
    <row r="9">
      <c r="A9" t="inlineStr">
        <is>
          <t>想定年収レンジ</t>
        </is>
      </c>
      <c r="B9" t="inlineStr">
        <is>
          <t>449万円〜684万円
【勤務時間】
・RA：9:30〜18:30
・CA：10:30〜19:30 / 13:00〜22:00（1週間ごとのローテーション勤務）
【手当】
・交通費支給（上限2万円/月）
・夜面談シフト手当（CA職）
・書籍購入手当
・保育料補助手当（認可外保育施設利用時）
・出産祝金手当
・副業可（条件あり）</t>
        </is>
      </c>
    </row>
    <row r="10">
      <c r="A10" t="inlineStr">
        <is>
          <t>NG条件・懸念点</t>
        </is>
      </c>
      <c r="B10" t="inlineStr">
        <is>
          <t>【公式NG記載なし。以下は実務上の懸念点】
・CAはシフト制（夜間面談あり：13:00〜22:00ローテーション）のため、夜間勤務への理解が必要
・CA/RAの配属はオープン選考で確定しない（選考過程で決定）
・社会人経験2年以上が必須のため、第二新卒・社会人1年未満の候補者は対象外
・IT特化のため、ITへの興味・親和性がない候補者には業界訴求が難しい
・年収レンジ上限684万は上位実績者ベースの可能性あり。入社時年収は要確認</t>
        </is>
      </c>
    </row>
    <row r="11">
      <c r="A11" t="inlineStr">
        <is>
          <t>エージェントメモ
（裏の評価・社風）</t>
        </is>
      </c>
      <c r="B11" t="inlineStr">
        <is>
          <t>・累計支援8万名・活躍率90%・IT職種成功率95%という具体的な実績数値は、候補者への安心感と訴求力が高い
・「IT知識ゼロで入社した9割」という事実は、IT未経験者への強いフックになる
・DX投資積極な非IT企業の求人も多数保有という差別化は、「難しい希望条件でも提案できる」競争力として訴求しやすい
・副業OK・書籍購入手当・リフレッシュ休暇などの充実した制度は、自己成長志向の候補者へのプラス訴求
・NG評価ポイント：「夜間シフト不可（CA希望の場合）・社会人経験2年未満・ITに全く興味なし・数字コミットが苦手」の候補者は合わない</t>
        </is>
      </c>
    </row>
    <row r="12">
      <c r="A12" t="inlineStr">
        <is>
          <t>出典：求人票（株式会社Geekly）　※エージェントメモは求人票記載外の情報を含む</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求人票データ｜株式会社プレックス</t>
        </is>
      </c>
    </row>
    <row r="2">
      <c r="A2" t="inlineStr">
        <is>
          <t>【両面型】キャリアパートナー／インフラ産業特化人材紹介／日本橋</t>
        </is>
      </c>
    </row>
    <row r="3">
      <c r="A3" t="inlineStr">
        <is>
          <t>掲載日</t>
        </is>
      </c>
      <c r="B3" t="inlineStr">
        <is>
          <t>2026/03/13</t>
        </is>
      </c>
    </row>
    <row r="4">
      <c r="A4" t="inlineStr">
        <is>
          <t>必須要件（Must）</t>
        </is>
      </c>
      <c r="B4" t="inlineStr">
        <is>
          <t>・プレックスのミッション・バリューへの共感
・個人・法人問わず販売接客/営業経験
・目標数字があり、それに向かって達成するための努力をされた経験</t>
        </is>
      </c>
    </row>
    <row r="5">
      <c r="A5" t="inlineStr">
        <is>
          <t>歓迎要件（Want）</t>
        </is>
      </c>
      <c r="B5" t="inlineStr">
        <is>
          <t>・インフラ産業（物流・建設・製造・整備等）への関心
・変化を楽しめる方</t>
        </is>
      </c>
    </row>
    <row r="6">
      <c r="A6" t="inlineStr">
        <is>
          <t>仕事内容（概要）</t>
        </is>
      </c>
      <c r="B6" t="inlineStr">
        <is>
          <t>インフラ産業（物流・建設・製造・整備等）特化の人材紹介「プレックスジョブ」にて、CA・RAの両面を担うキャリアパートナーポジション。
採用したい企業と仕事を探す求職者をマッチングする役割。新規法人開拓は別部署が担当のため、マッチングに集中できる環境。
【業務の流れ】
①初回面談 → ②求職者に求人提案 → ③企業に求職者打診 → ④日程調整・選考対策 → ⑤入社までフォロー
★月間47,000名の新規求職者登録（集客力に強み）
★入社2ヶ月以内に94%が初成約（未経験でも成果を出しやすい仕組み）
★絶対評価制度（相対評価なし）で「やればやった分だけ」報われる
★最高年収1,660万円・平均年収612万円・平均年間昇給99.2万円
★来期450名採用予定で3〜6ヶ月以内に4〜5名のマネジメントポストが発生予定</t>
        </is>
      </c>
    </row>
    <row r="7">
      <c r="A7" t="inlineStr">
        <is>
          <t>求める人物像</t>
        </is>
      </c>
      <c r="B7" t="inlineStr">
        <is>
          <t>・日本一のエッセンシャルワーカー採用プラットフォームを作ることを本気で目指せる人
・誰もなし得たことのない高い成果を追い求められる人
・変化を楽しめる人</t>
        </is>
      </c>
    </row>
    <row r="8">
      <c r="A8" t="inlineStr">
        <is>
          <t>ターゲット層の傾向</t>
        </is>
      </c>
      <c r="B8" t="inlineStr">
        <is>
          <t>【営業・販売経験者・成果主義志向・インフラ業界興味型】
・20代前半〜後半がメイン層（平均年齢29.9歳・未経験者60%以上）
・前職：個人・法人問わず販売・接客・営業経験者が必須
・「インフラ産業×人材紹介」という社会的意義の強さと、インセンティブによる高年収が刺さる成果志向層に向く
・絶対評価制度（他メンバーの成績に振り回されない）は、フェアな評価を求める候補者に響く
・450名採用・マネジメントポスト創出という組織拡大フェーズは、早期昇格志向者への訴求材料</t>
        </is>
      </c>
    </row>
    <row r="9">
      <c r="A9" t="inlineStr">
        <is>
          <t>想定年収レンジ</t>
        </is>
      </c>
      <c r="B9" t="inlineStr">
        <is>
          <t>400万円〜600万円（固定給ベース）※目標連動の報酬制度で1,000万以上多数
月給：333,334円〜500,000円
　基本給：227,037〜345,555円
　固定残業手当：月45h分 79,365〜119,047円（超過分別途支給）
　その他手当（一律支給）：26,932〜35,398円
【実績】最高年収1,660万・平均年収612万・平均年間昇給99.2万円
年間休日：120日（土日祝・夏季・年末年始）
近住手当：オフィス2km圏内に一定費用補助</t>
        </is>
      </c>
    </row>
    <row r="10">
      <c r="A10" t="inlineStr">
        <is>
          <t>NG条件・懸念点</t>
        </is>
      </c>
      <c r="B10" t="inlineStr">
        <is>
          <t>【公式NG記載なし。以下は実務上の懸念点】
・販売接客/営業経験と目標達成への努力が必須のため、完全未経験・実績なしの候補者は対象外
・固定残業45h含む給与体系のため実質的な時給は確認要
・インフラ産業（物流・建設・製造・整備等）という特化領域への共感が選考上重要
・ミッション・バリューへの共感が採用基準に含まれるため、価値観のすり合わせが必要
・平均残業40h/月（業界低水準とされているが、残業ゼロを求める候補者には注意）</t>
        </is>
      </c>
    </row>
    <row r="11">
      <c r="A11" t="inlineStr">
        <is>
          <t>エージェントメモ
（裏の評価・社風）</t>
        </is>
      </c>
      <c r="B11" t="inlineStr">
        <is>
          <t>・月間47,000名の新規求職者登録という集客力は、「成果を出しやすい環境」として候補者への訴求がしやすい
・入社2ヶ月以内に94%が初成約という実績は、未経験者への安心感フックとして強力
・絶対評価制度は「他人の成績に左右されない」公平性の訴求として刺さる
・「インフラ産業は市場規模100兆円超・採用難が続く」という業界背景は、社会的意義を求める候補者に響く
・来期450名採用でマネジメントポストが急増する成長フェーズは、早期昇格志向者に絶好のタイミングとして訴求可
・NG評価ポイント：「販売・営業経験なし・数字コミットが苦手・変化嫌い・インフラ業界に無関心」の候補者は合わない</t>
        </is>
      </c>
    </row>
    <row r="12">
      <c r="A12" t="inlineStr">
        <is>
          <t>出典：求人票（株式会社プレックス）　※エージェントメモは求人票記載外の情報を含む</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求人票データ｜株式会社ヒュープロ</t>
        </is>
      </c>
    </row>
    <row r="2">
      <c r="A2" t="inlineStr">
        <is>
          <t>コンサルティングセールス／経営管理・HRTech／営業未経験歓迎</t>
        </is>
      </c>
    </row>
    <row r="3">
      <c r="A3" t="inlineStr">
        <is>
          <t>掲載日</t>
        </is>
      </c>
      <c r="B3" t="inlineStr">
        <is>
          <t>2026/03/13</t>
        </is>
      </c>
    </row>
    <row r="4">
      <c r="A4" t="inlineStr">
        <is>
          <t>必須要件（Must）</t>
        </is>
      </c>
      <c r="B4" t="inlineStr">
        <is>
          <t>29歳以下／専門卒以上／2社経験以内</t>
        </is>
      </c>
    </row>
    <row r="5">
      <c r="A5" t="inlineStr">
        <is>
          <t>歓迎要件（Want）</t>
        </is>
      </c>
      <c r="B5" t="inlineStr">
        <is>
          <t>・士業（弁護士・公認会計士・税理士など）の経験や受験勉強の経験
・金融業界の実務経験（地方銀行・地方証券・信用金庫など）
・有形・無形商材問わず営業経験（新規開拓経験歓迎）
・同社の理念・ビジョンへの共感
・素直な方・スピーディーなキャリアアップを実現したい方</t>
        </is>
      </c>
    </row>
    <row r="6">
      <c r="A6" t="inlineStr">
        <is>
          <t>仕事内容（概要）</t>
        </is>
      </c>
      <c r="B6" t="inlineStr">
        <is>
          <t>経営管理の転職プラットフォーム「ヒュープロ」を中心に、人材紹介・採用コンサルティング・ダイレクトスカウト・新規事業など複数部署のコンサルタント職として活躍するポジション。
入社当初はセールス（対クライアント）配属。
【配属予定部署】
・人材紹介事業部（35名）
・採用コンサルティング事業部（5名）
・ダイレクトスカウト事業部（4名）
・新規事業部（2名）
【キャリア例（未経験ベース）】
1年目：コンサルタント（ビジネス基礎スキル習得）
2年目：リーダー/人事/新規事業開発/マーケ/経営企画など
3年目：ユニットマネージャー/採用責任者/新規事業責任者など
★入社3ヶ月目からコンサルタントとして独り立ちのスピード感
★5ヶ月目には3〜5名チームマネジメントに挑戦した実績あり
★昨対比300%の事業成長率・年間200%の組織拡大
★ストックオプション定期配布制度あり</t>
        </is>
      </c>
    </row>
    <row r="7">
      <c r="A7" t="inlineStr">
        <is>
          <t>求める人物像</t>
        </is>
      </c>
      <c r="B7" t="inlineStr">
        <is>
          <t>・素直でスピーディーなキャリアアップを実現したい人
・会社と一緒に成長していきたい人
・ベンチャーマインドがあり、主体的に考えて行動できる人
・「アジアを代表する会社をつくる」ビジョンに共感できる人</t>
        </is>
      </c>
    </row>
    <row r="8">
      <c r="A8" t="inlineStr">
        <is>
          <t>ターゲット層の傾向</t>
        </is>
      </c>
      <c r="B8" t="inlineStr">
        <is>
          <t>【社会人経験半年以上・ベンチャー志向・成長意欲型】
・20代前半〜後半がメイン層（平均年齢25.8歳の若い組織）
・前職：金融・士業・営業経験者に親和性高め（未経験歓迎）
・「ヒュープロ（経営管理特化）」という珍しいニッチ領域は、経理・財務・会計領域に興味がある候補者への訴求が強い
・ストックオプションあり・年間200%組織拡大という成長フェーズは、IPO志向層にも刺さる
・「平均年齢25.8歳のオープン＆フラットな社風」は、ベンチャー志向の若い候補者に響く</t>
        </is>
      </c>
    </row>
    <row r="9">
      <c r="A9" t="inlineStr">
        <is>
          <t>想定年収レンジ</t>
        </is>
      </c>
      <c r="B9" t="inlineStr">
        <is>
          <t>300万円〜600万円
月給：25万〜50万円
賞与：年1回（業績連動）
みなし残業：45時間分含む
【手当】
・ストックオプション定期配布制度
・交通費支給（上限3万円/月）
年間休日：120日（完全週休2日・土日・祝日・年末年始）
初年度有給：10日</t>
        </is>
      </c>
    </row>
    <row r="10">
      <c r="A10" t="inlineStr">
        <is>
          <t>NG条件・懸念点</t>
        </is>
      </c>
      <c r="B10" t="inlineStr">
        <is>
          <t>【公式NG記載なし。以下は実務上の懸念点】
・試用期間の記載なし（入社前に確認推奨）
・賞与が年1回のみ（業績連動）のため、固定的な賞与を期待する候補者には注意
・みなし残業45h含む給与体系のため実質的な時給は確認要
・入社時年収300〜600万は幅が広く、実際のオファー額は面接評価次第
・社員数90名と小規模のため、組織の安定性・将来性を重視する候補者には説明が必要
・「ダイレクトスカウト・M&amp;A領域の採用支援」など新規事業多数で業務範囲が流動的</t>
        </is>
      </c>
    </row>
    <row r="11">
      <c r="A11" t="inlineStr">
        <is>
          <t>エージェントメモ
（裏の評価・社風）</t>
        </is>
      </c>
      <c r="B11" t="inlineStr">
        <is>
          <t>・「経営管理の転職プラットフォーム業界No.1（求人数）」という明確なポジショニングは訴求しやすい
・ストックオプション定期配布制度は、IPO志向・資産形成意識の高い候補者への強いフック（上場計画との文脈でセットで説明）
・昨対比300%成長・年間200%組織拡大という数値は成長フェーズを証明する材料として使いやすい
・「金融・士業出身者が多数在籍」という点は、同業界からの転職者に親近感を与える訴求になる
・入社5ヶ月でチームマネジメントという具体的な実績は、早期昇格志向の候補者への強いフック
・NG評価ポイント：「大規模組織志向・安定重視・変化を嫌う・数字コミットが苦手」の候補者は合わない</t>
        </is>
      </c>
    </row>
    <row r="12">
      <c r="A12" t="inlineStr">
        <is>
          <t>出典：求人票（株式会社ヒュープロ）　※エージェントメモは求人票記載外の情報を含む</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求人票データ｜株式会社HR CAREER</t>
        </is>
      </c>
    </row>
    <row r="2">
      <c r="A2" t="inlineStr">
        <is>
          <t>【未経験歓迎】両面型キャリアアドバイザー／医療・福祉・建設特化／プライム上場G</t>
        </is>
      </c>
    </row>
    <row r="3">
      <c r="A3" t="inlineStr">
        <is>
          <t>掲載日</t>
        </is>
      </c>
      <c r="B3" t="inlineStr">
        <is>
          <t>2026/03/13</t>
        </is>
      </c>
    </row>
    <row r="4">
      <c r="A4" t="inlineStr">
        <is>
          <t>必須要件（Must）</t>
        </is>
      </c>
      <c r="B4" t="inlineStr">
        <is>
          <t>・未経験歓迎
・学歴不問</t>
        </is>
      </c>
    </row>
    <row r="5">
      <c r="A5" t="inlineStr">
        <is>
          <t>歓迎要件（Want）</t>
        </is>
      </c>
      <c r="B5" t="inlineStr">
        <is>
          <t>・人材業界で挑戦したい方
・業界No.1を目指す仲間と切磋琢磨して成長したい方
・成果の分だけ収入に還元される環境で働きたい方
・学歴や社歴に縛られず、早期にキャリアアップしたい方
・失敗を恐れず挑戦できる人
・目標達成意欲が強い人</t>
        </is>
      </c>
    </row>
    <row r="6">
      <c r="A6" t="inlineStr">
        <is>
          <t>仕事内容（概要）</t>
        </is>
      </c>
      <c r="B6" t="inlineStr">
        <is>
          <t>医療・福祉・保育・建設業界に特化した人材紹介事業にて、求職者と企業の両面を担うCAポジション。
介護ギフト・看護エール・栄養士エール・建設エール・保育ギフトなど複数の特化型求人サイトを運営。
【仕事の流れ】
①ヒアリング・キャリアプラン作成（月5〜15名の求職者を担当）
②求人紹介・面接の日程調整
③面接対策（時には面接同席）
④内定承諾後も継続フォロー
★可能な限り対面面談を優先（安心感・熱意の伝達）
★企業にも足を運ぶ足で稼ぐスタイル（求人票にない情報もキャッチ）
★「即日内定」に至るケースも多い（医療・福祉業界の特性）
★東証プライム上場G企業・5年で社員数150名超・10拠点開設の成長企業
★名古屋支社2026年3月オープン！新拠点の責任者候補としての採用も可能性あり
★賞与年3回（2月・6月・10月）</t>
        </is>
      </c>
    </row>
    <row r="7">
      <c r="A7" t="inlineStr">
        <is>
          <t>求める人物像</t>
        </is>
      </c>
      <c r="B7" t="inlineStr">
        <is>
          <t>・挑戦したい・収入を上げたいという想いを持つ人
・失敗を恐れず挑戦できる人
・目標達成意欲が強い人
※元プロ野球選手・元プロサッカー選手・捕鯨船の漁師・飲食店店長・ブライダルなど多彩な経歴の社員が在籍</t>
        </is>
      </c>
    </row>
    <row r="8">
      <c r="A8" t="inlineStr">
        <is>
          <t>ターゲット層の傾向</t>
        </is>
      </c>
      <c r="B8" t="inlineStr">
        <is>
          <t>【未経験歓迎・学歴不問・成長志向型】
・第二新卒〜30代前半がメイン層（中途入社の70%が未経験スタート）
・前職：職種・業界不問（元プロスポーツ選手・飲食・不動産など多彩な入社実績）
・「学歴・社歴不問」かつ「プライム上場Gの安定性」という組み合わせは、転職ハードルを感じる候補者への訴求が強い
・医療・福祉・保育・建設の社会貢献性が高い業界への特化は、使命感を持ちたい候補者に刺さる
・全国11拠点（名古屋は2026年3月オープン）と拠点を選べる点も訴求材料
・賞与年3回は候補者へのインパクトが強い</t>
        </is>
      </c>
    </row>
    <row r="9">
      <c r="A9" t="inlineStr">
        <is>
          <t>想定年収レンジ</t>
        </is>
      </c>
      <c r="B9" t="inlineStr">
        <is>
          <t>年収400万円〜800万円（入社時想定）
月給：27万円〜60万円（固定残業45h分含む）
　└ 固定残業代：72,700円〜144,300円/月
　└ 超過分は追加支給
賞与：年3回（2月・6月・10月）
昇給：年2回（6月・12月）
【年収例】
・500万円：入社1年目（営業未経験）
・840万円：入社2年目（営業未経験）
・1,050万円：入社4年目（営業経験あり）
試用期間：6ヶ月（期間中の給与・待遇変更なし）</t>
        </is>
      </c>
    </row>
    <row r="10">
      <c r="A10" t="inlineStr">
        <is>
          <t>NG条件・懸念点</t>
        </is>
      </c>
      <c r="B10" t="inlineStr">
        <is>
          <t>【公式NG記載なし。以下は実務上の懸念点】
・試用期間6ヶ月は長め（ただし期間中の待遇変更なし）
・固定残業45h含む給与体系のため実質的な時給は確認要
・医療・福祉・保育・建設特化のため、業界への興味・親和性がない候補者には業界訴求が難しい
・全国転勤の可能性あり（勤務地は希望考慮して決定するが転勤可能な候補者が対象）
・目標達成意欲・挑戦意欲を重視するため、安定志向・ルーティン好きの候補者には合わない</t>
        </is>
      </c>
    </row>
    <row r="11">
      <c r="A11" t="inlineStr">
        <is>
          <t>エージェントメモ
（裏の評価・社風）</t>
        </is>
      </c>
      <c r="B11" t="inlineStr">
        <is>
          <t>・「学歴不問・未経験歓迎×プライム上場Gの安定性」という組み合わせは、転職への不安が大きい候補者への最強の訴求材料
・賞与年3回（2月・6月・10月）は業界でも珍しく、候補者へのインパクトが非常に強い
・5年で150名超・10拠点開設という成長スピードは、「成長フェーズに乗りたい」候補者への訴求に使いやすい
・医療・福祉・建設という社会貢献性の高い業界特化は、「誰かの役に立つ仕事がしたい」候補者に響く
・2026年3月オープンの名古屋支社など新拠点の責任者候補として採用の可能性は、キャリアアップ志向者へのフック
・NG評価ポイント：「全国転勤絶対NG・安定志向・数字コミットが苦手・医療・福祉・建設業界に全く興味なし」の候補者は合わない</t>
        </is>
      </c>
    </row>
    <row r="12">
      <c r="A12" t="inlineStr">
        <is>
          <t>出典：求人票（株式会社HR CAREER）　※エージェントメモは求人票記載外の情報を含む</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求人票データ｜株式会社ブリッジワン</t>
        </is>
      </c>
    </row>
    <row r="2">
      <c r="A2" t="inlineStr">
        <is>
          <t>営業開発事業部メンバー／総合ソリューション営業・コンサルティング／恵比寿</t>
        </is>
      </c>
    </row>
    <row r="3">
      <c r="A3" t="inlineStr">
        <is>
          <t>掲載日</t>
        </is>
      </c>
      <c r="B3" t="inlineStr">
        <is>
          <t>2026/03/13</t>
        </is>
      </c>
    </row>
    <row r="4">
      <c r="A4" t="inlineStr">
        <is>
          <t>必須要件（Must）</t>
        </is>
      </c>
      <c r="B4" t="inlineStr">
        <is>
          <t>27歳以下</t>
        </is>
      </c>
    </row>
    <row r="5">
      <c r="A5" t="inlineStr">
        <is>
          <t>歓迎要件（Want）</t>
        </is>
      </c>
      <c r="B5" t="inlineStr">
        <is>
          <t>・toB営業の経験
・目標達成意欲が高い
・素直に物事に取り組むことができる
・成長環境を希望している</t>
        </is>
      </c>
    </row>
    <row r="6">
      <c r="A6" t="inlineStr">
        <is>
          <t>仕事内容（概要）</t>
        </is>
      </c>
      <c r="B6" t="inlineStr">
        <is>
          <t>中小企業の経営課題を解決する総合ソリューション営業・コンサルティング営業ポジション。
新規開拓から既存顧客深耕まで幅広く担当。
【主なソリューション領域】
＜人材領域＞ヘッドハンティング・人材紹介・高度外国人材紹介・フリーランス紹介
＜コンサル領域＞協力業者紹介・DXコンサル・採用コンサル・人事制度構築コンサル
＜金融領域＞M&amp;A・ファクタリング・補助金/助成金・リース・保険
【対象業界】
建設・不動産・製造・看板・医療・士業（業界の水平展開も進行中）
★各業界の立ち上げ時には立ち上げ責任者・メンバーの経験が可能
★インセンティブ計算式：年間売上×9%－（月給×12ヶ月）
★固定残業代：月60時間分含む（超過分別途支給）</t>
        </is>
      </c>
    </row>
    <row r="7">
      <c r="A7" t="inlineStr">
        <is>
          <t>求める人物像</t>
        </is>
      </c>
      <c r="B7" t="inlineStr">
        <is>
          <t>・目標達成意欲が高い人
・素直に物事に取り組める人
・成長環境を希望している人</t>
        </is>
      </c>
    </row>
    <row r="8">
      <c r="A8" t="inlineStr">
        <is>
          <t>ターゲット層の傾向</t>
        </is>
      </c>
      <c r="B8" t="inlineStr">
        <is>
          <t>【未経験OK・成果志向・高インセンティブ志向型】
・20代前半〜後半がメイン層
・前職：toB営業経験者に親和性高め（ただし必須ではなく未経験OK）
・「人材・コンサル・金融を横断した総合ソリューション」という幅広い提案力が身につく点は、汎用スキル志向の候補者に訴求しやすい
・年収実績（中途2年目800万・4年目1,800〜2,100万）という高い上限は、インセンティブ志向層への強いフック
・業界立ち上げ責任者の経験ができるという点は、起業志向・経営志向の候補者にも刺さる</t>
        </is>
      </c>
    </row>
    <row r="9">
      <c r="A9" t="inlineStr">
        <is>
          <t>想定年収レンジ</t>
        </is>
      </c>
      <c r="B9" t="inlineStr">
        <is>
          <t>379万円〜2,200万円
月給：316,100円〜
　基本給：219,300円〜
　固定残業代：月60h分 96,800円〜（超過分別途支給）
インセンティブ：年間売上×9%－（月給×12ヶ月）
【年収実績】
・400万（新卒1年目・23歳）
・700万（新卒2年目・24歳）
・800万（中途2年目・21歳）
・1,800万（中途4年目・27歳）
・2,100万（中途4年目・27歳）
・1,200万（中途5年目・28歳）
年間休日：125日（完全週休2日・土日祝・年末年始・GW・お盆）
試用期間：6ヶ月</t>
        </is>
      </c>
    </row>
    <row r="10">
      <c r="A10" t="inlineStr">
        <is>
          <t>NG条件・懸念点</t>
        </is>
      </c>
      <c r="B10" t="inlineStr">
        <is>
          <t>【公式NG記載なし。以下は実務上の懸念点】
・固定残業60h含む給与体系は業界の中でも高め。実態の残業時間は要確認
・試用期間6ヶ月（待遇変更の有無は要確認）
・勤務時間9:00〜19:00（所定労働時間8.5h）と長め
・「人材・コンサル・金融を横断」という業務範囲の広さは魅力でもあるが、専門性を深めたい候補者には合わない可能性
・新規開拓〜既存深耕まで幅広いため、特定の営業スタイルを求める候補者には向かない場合あり</t>
        </is>
      </c>
    </row>
    <row r="11">
      <c r="A11" t="inlineStr">
        <is>
          <t>エージェントメモ
（裏の評価・社風）</t>
        </is>
      </c>
      <c r="B11" t="inlineStr">
        <is>
          <t>・「人材×コンサル×金融」を一社で横断して提案できるという唯一無二のソリューション提案力は、汎用スキル・視野の広さを求める候補者への強いフック
・年収実績（中途4年目で1,800〜2,100万）という数字のインパクトは、インセンティブ志向候補者への訴求として非常に強力
・中小企業の経営者・役員相手の折衝経験は、将来的な起業・独立・コンサルキャリアを見据える候補者にとって魅力的な環境
・恵比寿ガーデンプレイスタワーというオフィス立地も、働く環境の質として訴求ポイントになる
・業界の水平展開（立ち上げ責任者経験）は、起業志向・事業開発志向の候補者への刺さりが強い
・NG評価ポイント：「残業が多いのが苦手・専門性を深めたい・数字コミットが苦手・ベンチャー環境が合わない」の候補者は合わない</t>
        </is>
      </c>
    </row>
    <row r="12">
      <c r="A12" t="inlineStr">
        <is>
          <t>出典：求人票（株式会社ブリッジワン）　※エージェントメモは求人票記載外の情報を含む</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求人票データ｜フリー株式会社</t>
        </is>
      </c>
    </row>
    <row r="2">
      <c r="A2" t="inlineStr">
        <is>
          <t>【インサイドセールス】業界未経験歓迎／freee会計など20以上のプロダクト／大崎</t>
        </is>
      </c>
    </row>
    <row r="3">
      <c r="A3" t="inlineStr">
        <is>
          <t>掲載日</t>
        </is>
      </c>
      <c r="B3" t="inlineStr">
        <is>
          <t>2026/03/13</t>
        </is>
      </c>
    </row>
    <row r="4">
      <c r="A4" t="inlineStr">
        <is>
          <t>必須要件（Must）</t>
        </is>
      </c>
      <c r="B4" t="inlineStr">
        <is>
          <t>・課題解決型の法人営業経験（有形・無形問わず）
※学歴不問</t>
        </is>
      </c>
    </row>
    <row r="5">
      <c r="A5" t="inlineStr">
        <is>
          <t>歓迎要件（Want）</t>
        </is>
      </c>
      <c r="B5" t="inlineStr">
        <is>
          <t>・SaaS・ITサービスの営業・IS経験
・Salesforceなどのツールを活用した顧客管理経験
・データを活用した営業改善経験
・マーケティングや事業企画への関心</t>
        </is>
      </c>
    </row>
    <row r="6">
      <c r="A6" t="inlineStr">
        <is>
          <t>仕事内容（概要）</t>
        </is>
      </c>
      <c r="B6" t="inlineStr">
        <is>
          <t>統合型経営プラットフォーム「freee」シリーズ（20以上のプロダクト）のインサイドセールスポジション。
中小・中堅企業の経営者・経理担当者に向けて、電話・メール・DMを活用して課題に対するfreeeのソリューションを提案。
【主な業務】
・電話・メール・DMで中小/中堅企業の経営者・経理担当者へアプローチ（架電30〜50件/日）
・見込み顧客の温度感・過去経緯を分析し、適切なタイミングでフォロー
・顧客のニーズを開発側に届け「顧客のためになるプロダクト作り」への貢献
・KPI/KGI：商談実施率・実施数、有効商談数
・（リーダー）組織運営・採用・成長支援・評価・企画推進
【案件タイプ】
・インバウンド型：マーケティング志向
・アウトバウンド型：セールス志向
※キャリア志向に合わせてアサイン
★顧客管理はSalesforce・会話記録はAI自動生成メモで効率化
★ISで入社した方の多くが2年以内に他ポジションへチャレンジ（FS・CS・マーケ・事業企画など）
★IS組織全体で200名在籍（20〜30代中心）
★フレックス制（コアタイム11:00〜16:00）・リモート相談可・副業可</t>
        </is>
      </c>
    </row>
    <row r="7">
      <c r="A7" t="inlineStr">
        <is>
          <t>求める人物像</t>
        </is>
      </c>
      <c r="B7" t="inlineStr">
        <is>
          <t>・課題解決型の営業スタイルが身についている人
・データをもとに仮説を立てて行動を改善できる人
・マーケ・FS・CSなど他チームを巻き込んで動ける人
・「スモールビジネスを、世界の主役に」というミッションに共感できる人</t>
        </is>
      </c>
    </row>
    <row r="8">
      <c r="A8" t="inlineStr">
        <is>
          <t>ターゲット層の傾向</t>
        </is>
      </c>
      <c r="B8" t="inlineStr">
        <is>
          <t>【法人営業経験者・SaaS志向・キャリアチェンジ志向型】
・20代後半〜30代前半がメイン層
・前職：法人営業（無形・有形問わず）経験者が必須。SaaS・IT系IS経験者は特に親和性高め
・「IS→FS/CS/マーケ/事業企画」という多彩なキャリアパスは、将来の職種転換を考えている候補者に強く刺さる
・インバウンド/アウトバウンドをキャリア志向で選べる点は、自分の志向が明確な候補者へのフックになる
・フレックス・リモート可・副業可という柔軟な働き方は、ワークライフバランス重視層にも訴求可</t>
        </is>
      </c>
    </row>
    <row r="9">
      <c r="A9" t="inlineStr">
        <is>
          <t>想定年収レンジ</t>
        </is>
      </c>
      <c r="B9" t="inlineStr">
        <is>
          <t>570万円〜690万円
月給：475,000円〜575,000円（固定残業手当含む）
　基本給：352,900円〜427,200円
　固定残業手当：122,100円〜147,800円（45h分）
　※超過分は別途支給
昇給：あり
全社平均残業：20時間/月
【手当・福利厚生】
・通勤手当・住宅手当（近隣居住の場合）
・副業可・書籍費フリー・ドリンクフリー・PC選択可
・疾病休暇（有給扱い年6日）・産休育休実績あり</t>
        </is>
      </c>
    </row>
    <row r="10">
      <c r="A10" t="inlineStr">
        <is>
          <t>NG条件・懸念点</t>
        </is>
      </c>
      <c r="B10" t="inlineStr">
        <is>
          <t>【公式NG記載なし。以下は実務上の懸念点】
・課題解決型の法人営業経験がない候補者は対象外（Must条件）
・固定残業45h含む月給体系のため、実質的な時給は要確認
・架電30〜50件/日のため、電話営業に強い抵抗がある候補者には合わない可能性
・配属（インバウンド/アウトバウンド）は志向性を考慮しつつも確約ではない
・グロース市場上場のため、プライム上場の安定感を重視する候補者には説明が必要</t>
        </is>
      </c>
    </row>
    <row r="11">
      <c r="A11" t="inlineStr">
        <is>
          <t>エージェントメモ
（裏の評価・社風）</t>
        </is>
      </c>
      <c r="B11" t="inlineStr">
        <is>
          <t>・「freee会計」は中小企業向けクラウド会計で国内最大級。ブランド認知が高く候補者への訴求がしやすい
・20以上のプロダクトを提案できる点は、「1つの商材だけ売り続けるのは嫌」という候補者への差別化訴求になる
・顧客の温度感・過去経緯を分析してからアプローチする姿勢（無理な提案なし）は、誠実な候補者に響く
・ISから2年以内に他ポジションへのキャリアチェンジ実績が豊富。「IS固定」を嫌う候補者への安心材料として強い
・インバウンド/アウトバウンドをキャリア志向で選べる仕組みは、「マーケ寄り」か「セールス寄り」かが明確な候補者に刺さる
・NG評価ポイント：「法人営業経験なし・架電に強い抵抗がある・キャリアチェンジへの興味なし・ミッション共感が薄い」候補者は合わない</t>
        </is>
      </c>
    </row>
    <row r="12">
      <c r="A12" t="inlineStr">
        <is>
          <t>出典：求人票（フリー株式会社）　※エージェントメモは求人票記載外の情報を含む</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求人票データ｜株式会社マネーフォワード</t>
        </is>
      </c>
    </row>
    <row r="2">
      <c r="A2" t="inlineStr">
        <is>
          <t>【インサイドセールス（オープンポジション）】国内トップクラスSaaS／田町</t>
        </is>
      </c>
    </row>
    <row r="3">
      <c r="A3" t="inlineStr">
        <is>
          <t>掲載日</t>
        </is>
      </c>
      <c r="B3" t="inlineStr">
        <is>
          <t>2026/03/13</t>
        </is>
      </c>
    </row>
    <row r="4">
      <c r="A4" t="inlineStr">
        <is>
          <t>必須要件（Must）</t>
        </is>
      </c>
      <c r="B4" t="inlineStr">
        <is>
          <t>・以下いずれか必須：
　①無形商材の法人営業経験
　②インサイドセールスのご経験
　③アウトバウンド型のコール営業経験</t>
        </is>
      </c>
    </row>
    <row r="5">
      <c r="A5" t="inlineStr">
        <is>
          <t>歓迎要件（Want）</t>
        </is>
      </c>
      <c r="B5" t="inlineStr">
        <is>
          <t>・SaaS・Fintech・バックオフィス領域への関心
・Salesforceなどのツールを活用した顧客管理経験
・データ分析を活用した営業改善経験</t>
        </is>
      </c>
    </row>
    <row r="6">
      <c r="A6" t="inlineStr">
        <is>
          <t>仕事内容（概要）</t>
        </is>
      </c>
      <c r="B6" t="inlineStr">
        <is>
          <t>法人向けバックオフィスSaaS「マネーフォワード クラウド」のインサイドセールスポジション。
マーケティングが獲得した見込み顧客（トライアル利用者・セミナー参加者など）に対して、メール・架電でフォローし商談を創出してフィールドセールスへパス。
【業務タイプ（4種）】
①SDR（反響型）：リードからの新規商談獲得
②BDR（新規獲得型）：リード創出及び新規商談獲得
③ナーチャリング：CRM施策及び新規商談獲得
④既存顧客へのCross-Sell施策及び新規商談獲得
★「ユーザーフォーカス」の文化が浸透しており、無理な提案活動は行わない
★トライアル利用者が主なアプローチ対象のため、受け入れられやすい営業環境
★週2出社必須・週3以上推奨のハイブリッドワーク
★プライム市場上場・従業員2,100名・平均年齢33.2歳</t>
        </is>
      </c>
    </row>
    <row r="7">
      <c r="A7" t="inlineStr">
        <is>
          <t>求める人物像</t>
        </is>
      </c>
      <c r="B7" t="inlineStr">
        <is>
          <t>・ユーザーフォーカスの考えを持ち、顧客の課題解決を重視できる人
・データをもとに仮説を立てて行動できる人
・「お金を前へ。人生をもっと前へ。」というミッションに共感できる人</t>
        </is>
      </c>
    </row>
    <row r="8">
      <c r="A8" t="inlineStr">
        <is>
          <t>ターゲット層の傾向</t>
        </is>
      </c>
      <c r="B8" t="inlineStr">
        <is>
          <t>【無形営業・IS経験者・SaaS志向型】
・20代後半〜30代前半がメイン層
・前職：無形商材の法人営業・IS・アウトバウンドコール経験者が必須
・「トライアル利用者中心のアプローチ（ガチャ切りされにくい環境）」は、アウトバウンド疲れの候補者への強いフック
・BDR/SDR/ナーチャリング/クロスセルと多様な業務タイプへの挑戦機会は、幅広い営業スキルを身につけたい候補者に訴求
・プライム市場上場・Fintech最大手クラスのブランド力は安定志向層にも訴求できる</t>
        </is>
      </c>
    </row>
    <row r="9">
      <c r="A9" t="inlineStr">
        <is>
          <t>想定年収レンジ</t>
        </is>
      </c>
      <c r="B9" t="inlineStr">
        <is>
          <t>480万円〜900万円
月給：400,000円〜750,000円
　基本給：284,330円〜533,230円
　固定残業代：115,670円〜216,770円（45h分）
　※超過分は別途支給
昇給：年2回（7月・1月）
ハイパフォーマンス賞与：業績に応じて変動
【手当・福利厚生】
・通勤手当・近隣住宅手当・近隣引越し祝金
・書籍購入補助・企業型確定拠出年金・従業員持株会
・家賃給与控除制度（シャトク）
・ベビーシッター・家事代行・オンライン英会話優待</t>
        </is>
      </c>
    </row>
    <row r="10">
      <c r="A10" t="inlineStr">
        <is>
          <t>NG条件・懸念点</t>
        </is>
      </c>
      <c r="B10" t="inlineStr">
        <is>
          <t>【公式NG記載なし。以下は実務上の懸念点】
・無形商材の法人営業・IS・アウトバウンドコール経験のいずれかが必須（完全未経験は対象外）
・固定残業45h含む月給体系のため実質的な時給は要確認
・週2出社必須（週3以上推奨）のため、フルリモート希望者には合わない
・配属チーム（SDR/BDR/ナーチャリング等）は選考過程で決定するため特定タイプの確約はない
・オープンポジションのため具体的な業務内容は入社後の配属確定まで変動あり</t>
        </is>
      </c>
    </row>
    <row r="11">
      <c r="A11" t="inlineStr">
        <is>
          <t>エージェントメモ
（裏の評価・社風）</t>
        </is>
      </c>
      <c r="B11" t="inlineStr">
        <is>
          <t>・「マネーフォワード クラウド」はバックオフィスSaaSで国内最大級。ブランド認知が高く候補者への訴求がしやすい
・トライアル利用者へのアプローチが主のため「提案活動をしている感覚」という社員の声は、アウトバウンド疲れの候補者への強いフック
・「経営陣がISを重要視している」という文化は、IS軽視の環境に不満を持つ候補者に刺さる
・直近3年で従業員数3倍・積極採用中という成長フェーズは、キャリアアップ志向の候補者への訴求材料
・NG評価ポイント：「法人営業・IS・アウトバウンド経験なし・フルリモート必須・週2出社が難しい」候補者は合わない</t>
        </is>
      </c>
    </row>
    <row r="12">
      <c r="A12" t="inlineStr">
        <is>
          <t>出典：求人票（株式会社マネーフォワード）　※エージェントメモは求人票記載外の情報を含む</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求人票データ｜株式会社FCE</t>
        </is>
      </c>
    </row>
    <row r="2">
      <c r="A2" t="inlineStr">
        <is>
          <t>【フィールドセールス】RPAロボパットDX／DX推進事業／第二新卒歓迎／新宿</t>
        </is>
      </c>
    </row>
    <row r="3">
      <c r="A3" t="inlineStr">
        <is>
          <t>掲載日</t>
        </is>
      </c>
      <c r="B3" t="inlineStr">
        <is>
          <t>2026/03/13</t>
        </is>
      </c>
    </row>
    <row r="4">
      <c r="A4" t="inlineStr">
        <is>
          <t>必須要件（Must）</t>
        </is>
      </c>
      <c r="B4" t="inlineStr">
        <is>
          <t>・社会人経験1年以上
※IT知識不問・業界未経験歓迎</t>
        </is>
      </c>
    </row>
    <row r="5">
      <c r="A5" t="inlineStr">
        <is>
          <t>歓迎要件（Want）</t>
        </is>
      </c>
      <c r="B5" t="inlineStr">
        <is>
          <t>・法人向け無形商材の営業経験
・IT・DX領域への関心・学習意欲
・コンサルティング型の提案営業経験</t>
        </is>
      </c>
    </row>
    <row r="6">
      <c r="A6" t="inlineStr">
        <is>
          <t>仕事内容（概要）</t>
        </is>
      </c>
      <c r="B6" t="inlineStr">
        <is>
          <t>業務自動化・最適化ツール「RPAロボパットDX」（導入企業1,900社・継続率98%）を提供するフィールドセールスポジション。
ISが設定した商談〜トライアル〜契約後キックオフまでを担当するコンサルティングセールス職。
【業務の流れ】
①ISからパスされた商談に対してヒアリング・提案
②トライアル期間中に業務自動化に向けた提案・サポート
③契約後のキックオフまでを一貫して担当
★契約前に必ずトライアル期間を設けるため、じっくりお客様と関われる
★業界を問わないツールのため多種多様な業界・規模の顧客に提案可能
★入社2年目でチームリーダーになった中途社員の実績あり
★プログラミング知識不要・IT知識は入社後習得
★週1〜2回リモート可（入社後3ヶ月は原則出社）
★東証スタンダード上場・13年連続「働きがいのある会社」選出</t>
        </is>
      </c>
    </row>
    <row r="7">
      <c r="A7" t="inlineStr">
        <is>
          <t>求める人物像</t>
        </is>
      </c>
      <c r="B7" t="inlineStr">
        <is>
          <t>・お客様の役に立ちたいという気持ちが強い人
・本当に喜ばれる仕事がしたい人
・営業としてのキャリアを積みたい人
・IT知識を習得することへの意欲が高い人</t>
        </is>
      </c>
    </row>
    <row r="8">
      <c r="A8" t="inlineStr">
        <is>
          <t>ターゲット層の傾向</t>
        </is>
      </c>
      <c r="B8" t="inlineStr">
        <is>
          <t>【第二新卒・社会人経験1年以上・成長志向型】
・20代前半〜後半がメイン層
・前職：業種・職種不問（社会人経験1年以上あれば歓迎）
・「IT知識不要・入社後習得」という間口の広さは、IT未経験者への強い訴求になる
・トライアル期間設定による「じっくり顧客と関われる」営業スタイルは、押し売り型営業が嫌な候補者に刺さる
・「3年で10年分の成長」「13年連続働きがいのある会社選出」という実績は、成長環境を求める候補者への訴求に使いやすい</t>
        </is>
      </c>
    </row>
    <row r="9">
      <c r="A9" t="inlineStr">
        <is>
          <t>想定年収レンジ</t>
        </is>
      </c>
      <c r="B9" t="inlineStr">
        <is>
          <t>500万円〜600万円
月給：337,000円〜
　基本給：249,341円〜
　固定残業代：87,659円〜（45h分）
　※超過分は別途支給
賞与：年2回（7月・12月）業績連動型
昇給：あり
平均残業：全社20〜25時間/月
【手当・福利厚生】
・通勤手当・子ども教育手当（中学卒業まで）
・書籍購入補助（年36,000円）
・確定拠出年金制度・報奨金制度
・副業可・フレックス（コアタイムなし）</t>
        </is>
      </c>
    </row>
    <row r="10">
      <c r="A10" t="inlineStr">
        <is>
          <t>NG条件・懸念点</t>
        </is>
      </c>
      <c r="B10" t="inlineStr">
        <is>
          <t>【公式NG記載なし。以下は実務上の懸念点】
・大卒以上の学歴要件あり（大学院・大学）
・固定残業45h含む月給体系のため実質的な時給は要確認
・入社後3ヶ月は原則出社（その後週1〜2回リモート可）
・フィールドセールスのため顧客先への訪問あり（完全リモート希望者には合わない）
・スタンダード市場上場のため、プライム上場の安定感を重視する候補者には説明が必要</t>
        </is>
      </c>
    </row>
    <row r="11">
      <c r="A11" t="inlineStr">
        <is>
          <t>エージェントメモ
（裏の評価・社風）</t>
        </is>
      </c>
      <c r="B11" t="inlineStr">
        <is>
          <t>・「RPAロボパットDX」は約7,300製品中第1位・継続率98%という圧倒的な商品力。「良いものを売れる」という確信を持ちたい候補者への強い訴求材料
・13年連続「働きがいのある会社」選出・4年連続ストレスフリーカンパニー選出という実績は、社風の良さとして信頼感を与えやすい
・「エンジニア不要のRPA」という訴求は、IT知識ゼロからでも顧客に提案できる点で候補者の不安を払拭しやすい
・コアタイムなしのフレックス・副業可・書籍購入補助など自律志向の候補者に刺さる制度が揃っている
・NG評価ポイント：「完全リモート必須・大卒未満・IT学習意欲がない・コンサルティング型の提案が苦手」候補者は合わない</t>
        </is>
      </c>
    </row>
    <row r="12">
      <c r="A12" t="inlineStr">
        <is>
          <t>出典：求人票（株式会社FCE）　※エージェントメモは求人票記載外の情報を含む</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求人票データ｜株式会社TOKIUM</t>
        </is>
      </c>
    </row>
    <row r="2">
      <c r="A2" t="inlineStr">
        <is>
          <t>【銀座/インサイドセールス】未経験OK／支出管理SaaS×経理AIエージェント</t>
        </is>
      </c>
    </row>
    <row r="3">
      <c r="A3" t="inlineStr">
        <is>
          <t>掲載日</t>
        </is>
      </c>
      <c r="B3" t="inlineStr">
        <is>
          <t>2026/03/13</t>
        </is>
      </c>
    </row>
    <row r="4">
      <c r="A4" t="inlineStr">
        <is>
          <t>必須要件（Must）</t>
        </is>
      </c>
      <c r="B4" t="inlineStr">
        <is>
          <t>・未経験歓迎
※大卒以上</t>
        </is>
      </c>
    </row>
    <row r="5">
      <c r="A5" t="inlineStr">
        <is>
          <t>歓迎要件（Want）</t>
        </is>
      </c>
      <c r="B5" t="inlineStr">
        <is>
          <t>・営業経験（業種・職種不問）
・IT・SaaS業界への関心
・経理・バックオフィス領域への興味</t>
        </is>
      </c>
    </row>
    <row r="6">
      <c r="A6" t="inlineStr">
        <is>
          <t>仕事内容（概要）</t>
        </is>
      </c>
      <c r="B6" t="inlineStr">
        <is>
          <t>支出管理プラットフォーム「TOKIUM」（経費精算・請求書処理SaaS＋経理AIエージェント）のインサイドセールスポジション。
マーケティングが獲得した問い合わせ企業に対して、架電・メールで課題をヒアリングし商談化してフィールドセールスへ連携。
【主な業務】
・見込み顧客への電話・メールを活用した課題ヒアリング・提案
・マーケティング部との連携によるリード訴求内容の検討
・営業部との連携による戦略検討
【入社後の研修スケジュール】
①入社後1週間：全体研修（会社・サービス理解・社員との交流）
②研修後〜：営業基礎知識・ISサービス理解のインプット
③入社1ヶ月目まで：架電ロープレ（外部営業コンサル指導あり）
★メイン顧客が大手企業のため大手企業への営業経験が積める
★IS→FS・CSへのキャリアチェンジ可能
★銀座勤務（野村不動産銀座ビル12F）・週1在宅可
★代表とのグループランチセッション（入社半年間・2ヶ月おきに実施）</t>
        </is>
      </c>
    </row>
    <row r="7">
      <c r="A7" t="inlineStr">
        <is>
          <t>求める人物像</t>
        </is>
      </c>
      <c r="B7" t="inlineStr">
        <is>
          <t>・営業・IT業界にチャレンジしたい人
・大手企業への提案経験を積みたい人
・IS→FS/CSへのキャリアアップを描いている人
・「未来へつながる時を生む」というビジョンに共感できる人</t>
        </is>
      </c>
    </row>
    <row r="8">
      <c r="A8" t="inlineStr">
        <is>
          <t>ターゲット層の傾向</t>
        </is>
      </c>
      <c r="B8" t="inlineStr">
        <is>
          <t>【営業未経験・第二新卒・SaaS志向型】
・20代前半〜後半がメイン層（平均年齢30.6歳）
・前職：業種・職種不問（営業未経験でも歓迎）
・「未経験OK×大手企業への営業経験が積める」という組み合わせは、キャリアの入口として魅力的な訴求になる
・「経理AIエージェント」という新領域への参画は、AI×SaaSの成長トレンドに乗りたい候補者に刺さる
・代表との距離が近い（入社半年間に2ヶ月おきのランチ会）という少数精鋭感は、経営陣と近い環境を求める候補者に響く</t>
        </is>
      </c>
    </row>
    <row r="9">
      <c r="A9" t="inlineStr">
        <is>
          <t>想定年収レンジ</t>
        </is>
      </c>
      <c r="B9" t="inlineStr">
        <is>
          <t>450万円〜650万円（年俸制）
月額：基本給282,322円〜＋固定残業代87,678円〜（40h分）
　※超過分は別途支給
昇給：あり
年間休日：120日（完全週休2日・土日祝・夏季3日・年末年始4日）
有給：13日〜（入社時特別休暇3日あり）
【手当・福利厚生】
・通勤手当・借り上げ社宅制度・従業員持株会
・書籍購入補助・勉強会・カンファレンス参加費補助
・月一納会（会社負担）・ウォーターサーバー
・育児休暇・ミライエ（子育て支援制度）</t>
        </is>
      </c>
    </row>
    <row r="10">
      <c r="A10" t="inlineStr">
        <is>
          <t>NG条件・懸念点</t>
        </is>
      </c>
      <c r="B10" t="inlineStr">
        <is>
          <t>【公式NG記載なし。以下は実務上の懸念点】
・大卒以上の学歴要件あり
・年俸制のため、賞与という概念がない（昇給で還元）
・固定残業40h含む年俸体系のため実質的な時給は要確認
・週1在宅のみのため、フルリモート希望者には合わない
・未上場企業のため、上場企業の安定感を重視する候補者には説明が必要
・「経理AIエージェント」という新領域のため、サービスの市場認知がまだ低い（説明コストが必要）</t>
        </is>
      </c>
    </row>
    <row r="11">
      <c r="A11" t="inlineStr">
        <is>
          <t>エージェントメモ
（裏の評価・社風）</t>
        </is>
      </c>
      <c r="B11" t="inlineStr">
        <is>
          <t>・「経理AIエージェント」というAI×SaaSの新領域は、成長トレンドに乗りたい候補者への訴求として差別化しやすい
・大手企業がメイン顧客という点は、「大手企業との折衝経験を積みたい」候補者への強いフック（未経験でも大手に提案できる環境）
・外部営業コンサルによるロープレ研修など手厚い育成体制は、未経験者への安心感訴求に使いやすい
・銀座オフィス（野村不動産銀座ビル12F）という立地は、働く環境の質として訴求ポイントになる
・代表との距離の近さ（入社半年間のランチ会・社員満足度調査月次）は、経営陣とのコミュニケーションを重視する候補者に刺さる
・NG評価ポイント：「フルリモート必須・上場企業のみ希望・年俸制に抵抗がある・大卒未満」の候補者は合わない</t>
        </is>
      </c>
    </row>
    <row r="12">
      <c r="A12" t="inlineStr">
        <is>
          <t>出典：求人票（株式会社TOKIUM）　※エージェントメモは求人票記載外の情報を含む</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求人票データ｜株式会社データX</t>
        </is>
      </c>
    </row>
    <row r="2">
      <c r="A2" t="inlineStr">
        <is>
          <t>【インサイドセールス】b→dash／SaaS急成長ベンチャー／営業経験不問／新宿</t>
        </is>
      </c>
    </row>
    <row r="3">
      <c r="A3" t="inlineStr">
        <is>
          <t>掲載日</t>
        </is>
      </c>
      <c r="B3" t="inlineStr">
        <is>
          <t>2026/03/13</t>
        </is>
      </c>
    </row>
    <row r="4">
      <c r="A4" t="inlineStr">
        <is>
          <t>必須要件（Must）</t>
        </is>
      </c>
      <c r="B4" t="inlineStr">
        <is>
          <t>・販売・サービスなどの顧客折衝経験、または
・スポーツなど目標に向かい本気で取り組んだご経験
・成長意欲があり知識習得のために努力をいとわない方
・日次で数値をモニタリングしながらPDCAを回すことに前向きな方
※大卒以上</t>
        </is>
      </c>
    </row>
    <row r="5">
      <c r="A5" t="inlineStr">
        <is>
          <t>歓迎要件（Want）</t>
        </is>
      </c>
      <c r="B5" t="inlineStr">
        <is>
          <t>・アポインターとしてのご経験
・法人/個人への営業経験またはそれに準じる経験</t>
        </is>
      </c>
    </row>
    <row r="6">
      <c r="A6" t="inlineStr">
        <is>
          <t>仕事内容（概要）</t>
        </is>
      </c>
      <c r="B6" t="inlineStr">
        <is>
          <t>マーケティングSaaS「b→dash」・経営管理DXSaaS「kpiee」のインサイドセールス、および架電代行事業「b→dash Sales」のアポインターポジション。
自社プロダクトとクライアントサービスの双方で架電・アポ獲得を担当。
【主な業務】
・お客様への架電（アポ打診／ヒアリング）
・メールを通じたアポ獲得（カスタムメール作成・送付）
・日次の振り返りと改善（架電結果をもとにPDCA）
★フロントSaaS国内ARR第2位の「b→dash」をメイン商材に扱える
★ゴールドマンサックス・KKR等から累計200億円の資金調達実績
★Forbes JAPAN「日本における非上場クラウド企業トップ20」3位にランクイン
★平均年齢27.0歳の若い組織
★年4回の昇給昇格機会・プレミアム報酬（業績連動特別給与）年4回
★20時完全退社・PC持ち帰り禁止・土日出勤禁止の徹底したオフ管理</t>
        </is>
      </c>
    </row>
    <row r="7">
      <c r="A7" t="inlineStr">
        <is>
          <t>求める人物像</t>
        </is>
      </c>
      <c r="B7" t="inlineStr">
        <is>
          <t>・成長意欲が高く知識習得のために努力できる人
・数値をもとにPDCAを高速で回せる人
・スマートデータ社会の実現というミッションに共感できる人</t>
        </is>
      </c>
    </row>
    <row r="8">
      <c r="A8" t="inlineStr">
        <is>
          <t>ターゲット層の傾向</t>
        </is>
      </c>
      <c r="B8" t="inlineStr">
        <is>
          <t>【顧客折衝経験者・成長志向・ベンチャー志向型】
・20代前半〜後半がメイン層（平均年齢27.0歳）
・前職：販売・接客・営業経験者に親和性高め（スポーツ経験者も歓迎）
・「フロントSaaS国内2位の商材を扱える」点は、SaaS・IT領域でキャリアを積みたい候補者への訴求材料になる
・20時完全退社・土日出勤禁止という徹底したワークライフバランスは、残業に悩む候補者への強いフック
・年4回の昇給昇格機会は、若い組織で早期に評価されたい候補者に刺さる</t>
        </is>
      </c>
    </row>
    <row r="9">
      <c r="A9" t="inlineStr">
        <is>
          <t>想定年収レンジ</t>
        </is>
      </c>
      <c r="B9" t="inlineStr">
        <is>
          <t>420万円〜500万円
月給：300,000円〜
　基本給：226,600円〜
　固定残業代：73,400円〜（45h分）
　※超過分は別途支給
昇給昇格：年4回
プレミアム報酬（業績連動特別給与）：年4回
【手当・福利厚生】
・住宅手当（30,000円〜）・借り上げ社宅制度
・こども手当（1人あたり最大6万円/月）
・社内トレーニングジム（パーソナルトレーナー無料講座あり）
・アニバーサリー祝い金（約10万円）・持株会
・クオーターピットイン（Q末日の有給取得必須日設定）</t>
        </is>
      </c>
    </row>
    <row r="10">
      <c r="A10" t="inlineStr">
        <is>
          <t>NG条件・懸念点</t>
        </is>
      </c>
      <c r="B10" t="inlineStr">
        <is>
          <t>【公式NG記載なし。以下は実務上の懸念点】
・大卒以上の学歴要件あり
・固定残業45h含む月給体系のため実質的な時給は要確認
・固定時間制（9:00〜18:00）のため、フレックス希望者には合わない
・自社ISと架電代行（クライアントサービス）の両方を担うため、業務範囲が広い
・未上場企業のため、上場企業の安定感を重視する候補者には説明が必要</t>
        </is>
      </c>
    </row>
    <row r="11">
      <c r="A11" t="inlineStr">
        <is>
          <t>エージェントメモ
（裏の評価・社風）</t>
        </is>
      </c>
      <c r="B11" t="inlineStr">
        <is>
          <t>・「b→dash」はフロントSaaS国内ARR2位という圧倒的な商材力。「強いプロダクトを売れる」という確信は候補者の安心感に繋がる
・ゴールドマンサックス・KKR等からの累計200億円調達・Forbes3位という対外評価は、スタートアップへの不安を払拭する材料になる
・20時完全退社・土日出勤禁止という明確なルールは、「残業が少ない」訴求において非常に具体的で信頼性が高い
・年4回の昇給昇格＋プレミアム報酬年4回という評価サイクルの速さは、若手候補者への強いモチベーション訴求になる
・社内ジム（パーソナルトレーナー無料）・こども手当（最大6万/月）などユニークな福利厚生は話題性があり候補者の印象に残りやすい
・NG評価ポイント：「大卒未満・フレックス必須・数値管理PDCAが苦手・ベンチャー環境が合わない」候補者は合わない</t>
        </is>
      </c>
    </row>
    <row r="12">
      <c r="A12" t="inlineStr">
        <is>
          <t>出典：求人票（株式会社データX）　※エージェントメモは求人票記載外の情報を含む</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求人票データ｜スマートキャンプ株式会社</t>
        </is>
      </c>
    </row>
    <row r="2">
      <c r="A2" t="inlineStr">
        <is>
          <t>【インサイドセールス】BOXIL SaaS／SaaS比較メディア最大級／田町</t>
        </is>
      </c>
    </row>
    <row r="3">
      <c r="A3" t="inlineStr">
        <is>
          <t>掲載日</t>
        </is>
      </c>
      <c r="B3" t="inlineStr">
        <is>
          <t>2026/03/13</t>
        </is>
      </c>
    </row>
    <row r="4">
      <c r="A4" t="inlineStr">
        <is>
          <t>必須要件（Must）</t>
        </is>
      </c>
      <c r="B4" t="inlineStr">
        <is>
          <t>・法人営業経験
※第二新卒歓迎・大卒以上</t>
        </is>
      </c>
    </row>
    <row r="5">
      <c r="A5" t="inlineStr">
        <is>
          <t>歓迎要件（Want）</t>
        </is>
      </c>
      <c r="B5" t="inlineStr">
        <is>
          <t>・SaaS・IT業界での営業・IS経験
・課題を自ら見つけ改善まで主体的に実行できる方
・データ分析・営業プロセス改善の経験</t>
        </is>
      </c>
    </row>
    <row r="6">
      <c r="A6" t="inlineStr">
        <is>
          <t>仕事内容（概要）</t>
        </is>
      </c>
      <c r="B6" t="inlineStr">
        <is>
          <t>国内最大級のSaaS比較メディア「BOXIL SaaS」のインサイドセールスポジション。
BOXIL掲載希望の見込み顧客に対して商談を創出し、フィールドセールスへトスアップする役割。
【主な業務】
・BOXIL掲載希望リードへの商談創出
・戦略的なリサイクルアプローチによる機会最大化
・顧客に合わせた1to1の提案実行
・FSへの戦略的トスアップと連携
・営業プロセス改善の企画・実行
・マーケ・開発へのフィードバック
★SaaS業界全体を横断した最新トレンドの知識が身につく（BOXIL SaaSはSaaS企業と導入担当者のマッチングPF）
★早期にFS・管理職へのキャリアチェンジ可能
★三菱商事グループの支援を受けIPO準備中
★平均残業11時間32分・週3〜4回リモート可・副業可
★平均年齢33歳</t>
        </is>
      </c>
    </row>
    <row r="7">
      <c r="A7" t="inlineStr">
        <is>
          <t>求める人物像</t>
        </is>
      </c>
      <c r="B7" t="inlineStr">
        <is>
          <t>・課題を自ら見つけ改善まで主体的に実行できる人
・成果が正当に評価される環境で営業力を磨き市場価値を高めたい人
・SaaS業界の最先端でキャリアを積みたい人</t>
        </is>
      </c>
    </row>
    <row r="8">
      <c r="A8" t="inlineStr">
        <is>
          <t>ターゲット層の傾向</t>
        </is>
      </c>
      <c r="B8" t="inlineStr">
        <is>
          <t>【法人営業経験者・SaaS志向・第二新卒歓迎型】
・20代後半〜30代前半がメイン層（平均年齢33歳）
・前職：法人営業経験者が必須。SaaS・IT業界経験者に特に親和性高め
・「特定SaaSではなくSaaS業界全体に関われる」という希少性は、SaaS業界でキャリアを築きたい候補者への差別化訴求になる
・IPO準備中（三菱商事グループ支援）という成長フェーズは、上場前のフェーズに関わりたい候補者への訴求材料
・平均残業11時間・週3〜4回リモートという働き方の良さは、ワークライフバランス重視層にも訴求可',</t>
        </is>
      </c>
    </row>
    <row r="9">
      <c r="A9" t="inlineStr">
        <is>
          <t>想定年収レンジ</t>
        </is>
      </c>
      <c r="B9" t="inlineStr">
        <is>
          <t>350万円〜500万円
月給：291,666円〜416,666円
　基本給：222,066円〜317,366円
　固定残業代：69,600円〜99,300円（40h分）
　※超過分は別途支給
昇給：あり
平均残業：11時間32分/月
【手当・福利厚生】
・通勤手当・近隣住宅手当・近隣引越祝金
・書籍購入制度・企業型確定拠出年金
・副業可・フレックス（コアタイム10:00〜16:00）
・産休育休（性別関係なく取得可）</t>
        </is>
      </c>
    </row>
    <row r="10">
      <c r="A10" t="inlineStr">
        <is>
          <t>NG条件・懸念点</t>
        </is>
      </c>
      <c r="B10" t="inlineStr">
        <is>
          <t>【公式NG記載なし。以下は実務上の懸念点】
・法人営業経験が必須のため、完全未経験は対象外
・大卒以上の学歴要件あり
・固定残業40h含む月給体系のため実質的な時給は要確認
・未上場企業のため、上場企業の安定感を重視する候補者には「IPO準備中」として説明が必要
・入社時年収350〜500万はSaaS企業の中でやや低め。成長スピード・将来性とセットで説明が必要</t>
        </is>
      </c>
    </row>
    <row r="11">
      <c r="A11" t="inlineStr">
        <is>
          <t>エージェントメモ
（裏の評価・社風）</t>
        </is>
      </c>
      <c r="B11" t="inlineStr">
        <is>
          <t>・「BOXIL SaaS」はSaaS比較メディア国内最大級。SaaS業界全体を横断して関われる希少性は他社との差別化訴求として強力
・SaaS AWARD開催・SaaS業界レポート毎年執筆という業界での存在感は、「SaaS業界の最先端で働ける」訴求に信頼性を与える
・三菱商事グループ支援下でのIPO準備中という成長ストーリーは、上場前フェーズに関わりたい候補者への強いフック
・平均残業11時間という具体的な数値は「残業少ない」訴求において非常に信頼性が高い
・副業可・週3〜4回リモートという柔軟な働き方は、自律志向・副業志向の候補者に刺さる
・NG評価ポイント：「法人営業経験なし・大卒未満・上場企業のみ希望・SaaSに興味なし」の候補者は合わない</t>
        </is>
      </c>
    </row>
    <row r="12">
      <c r="A12" t="inlineStr">
        <is>
          <t>出典：求人票（スマートキャンプ株式会社）　※エージェントメモは求人票記載外の情報を含む</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求人票データ｜HRクラウド（旧Roots）株式会社</t>
        </is>
      </c>
    </row>
    <row r="2">
      <c r="A2" t="inlineStr">
        <is>
          <t>【SaaS型フィールドセールス】採用一括かんりくん／HRTech／上場準備中／千代田区</t>
        </is>
      </c>
    </row>
    <row r="3">
      <c r="A3" t="inlineStr">
        <is>
          <t>掲載日</t>
        </is>
      </c>
      <c r="B3" t="inlineStr">
        <is>
          <t>2026/03/16</t>
        </is>
      </c>
    </row>
    <row r="4">
      <c r="A4" t="inlineStr">
        <is>
          <t>必須要件（Must）</t>
        </is>
      </c>
      <c r="B4" t="inlineStr">
        <is>
          <t>・法人営業経験1年以上</t>
        </is>
      </c>
    </row>
    <row r="5">
      <c r="A5" t="inlineStr">
        <is>
          <t>歓迎要件（Want）</t>
        </is>
      </c>
      <c r="B5" t="inlineStr">
        <is>
          <t>・SaaS・HRTech・採用支援領域への関心
・コンサルティング型の提案営業経験
・経営者・人事担当者への折衝経験</t>
        </is>
      </c>
    </row>
    <row r="6">
      <c r="A6" t="inlineStr">
        <is>
          <t>仕事内容（概要）</t>
        </is>
      </c>
      <c r="B6" t="inlineStr">
        <is>
          <t>新卒・中途採用を一元管理できるSaaS型採用管理システム「採用一括かんりくん」のフィールドセールスポジション。
ISが設定したアポイントに対して商談〜提案〜契約後キックオフまでを担当。
【主な業務】
・ISがアポ取得した商談の実施（オンライン/オフライン双方）
・企業の採用課題（主に新卒採用）のヒアリングと課題解決提案
・「採用一括かんりくん」の対面・オンライン営業
・IS・カスタマーサクセス部門との連携
★事業拡大・上場準備にともなう採用強化フェーズ
★新卒2年目が新規事業責任者を担当するなど年齢・役職に関係なく裁量の高い仕事ができる
★残業平均20時間以下・週2〜3出社のハイブリッドワーク
★リーダー候補として入社可能（ポジション空きあり）
★benefit-one加入（全国3.3万の宿泊施設・スポーツクラブ3,000拠点が福利厚生価格）</t>
        </is>
      </c>
    </row>
    <row r="7">
      <c r="A7" t="inlineStr">
        <is>
          <t>求める人物像</t>
        </is>
      </c>
      <c r="B7" t="inlineStr">
        <is>
          <t>・自由度が高い環境で自分で仕組みを作っていきたい人
・リーダー・マネージャーとして早期にキャリアアップしたい人
・上場準備フェーズの成長企業に関わりたい人
・風通しの良いフラットな組織文化で働きたい人</t>
        </is>
      </c>
    </row>
    <row r="8">
      <c r="A8" t="inlineStr">
        <is>
          <t>ターゲット層の傾向</t>
        </is>
      </c>
      <c r="B8" t="inlineStr">
        <is>
          <t>【法人営業1年以上・成長志向・上場前ベンチャー志向型】
・20代後半〜30代前半がメイン層
・前職：法人営業1年以上の経験者が必須。SaaS・HR・採用支援領域経験者に親和性高め
・「上場準備中×リーダー候補採用」という組み合わせは、早期昇格・ストックオプション志向の候補者に刺さる
・採用管理SaaSという「人事・採用に興味がある」候補者へのニッチな訴求が可能
・フラットな組織文化（役職・年齢関係なし）は、大企業の縦割り組織に疲れた候補者への解放感の訴求になる',</t>
        </is>
      </c>
    </row>
    <row r="9">
      <c r="A9" t="inlineStr">
        <is>
          <t>想定年収レンジ</t>
        </is>
      </c>
      <c r="B9" t="inlineStr">
        <is>
          <t>450万円〜800万円
スキル・経験・直近年収等を考慮／インセンティブあり
固定残業手当：月45h分含む（超過分別途支給）
昇給昇格：年2回（半期ごとのコンピテンシー評価）
賞与：年1回（業績連動）
年間休日：125日以上（完全週休2日・土日・祝日・年末年始・GW・リフレッシュ休暇）
残業平均：20時間以下
【福利厚生】
・書籍購入制度・部活制度・表彰制度（月次・四半期・年）
・報奨旅行（年）・リファラル採用インセンティブ
・benefit-one（宿泊・スポーツクラブ等）</t>
        </is>
      </c>
    </row>
    <row r="10">
      <c r="A10" t="inlineStr">
        <is>
          <t>NG条件・懸念点</t>
        </is>
      </c>
      <c r="B10" t="inlineStr">
        <is>
          <t>【公式NG記載なし。以下は実務上の懸念点】
・法人営業経験1年以上が必須のため、未経験・経験1年未満は対象外
・固定残業45h含む給与体系のため実質的な時給は要確認
・週2〜3出社ベースのため、フルリモート希望者には合わない
・未上場企業（上場準備中）のため、上場企業の安定感を重視する候補者には説明が必要
・賞与年1回のみのため、年2回を希望する候補者には注意</t>
        </is>
      </c>
    </row>
    <row r="11">
      <c r="A11" t="inlineStr">
        <is>
          <t>エージェントメモ
（裏の評価・社風）</t>
        </is>
      </c>
      <c r="B11" t="inlineStr">
        <is>
          <t>・「上場準備中×リーダー候補採用」は、上場前のフェーズに関わりたい・ストックオプション志向の候補者への強いフック
・採用管理SaaSという「人事・採用業界の課題解決」に共感できる候補者へのニッチだが強い訴求が可能
・新卒2年目が新規事業責任者を担うという具体的な実績は、「年齢に関係なく裁量を持って働きたい」候補者への信頼感のある訴求材料
・benefit-one加入（全国3.3万施設・スポーツクラブ3,000拠点）は、福利厚生の充実感として使いやすい
・フラットな組織文化（役職・年齢・性別関係なし）は、大企業の縦割りに疲れた候補者への刺さりが強い
・NG評価ポイント：「法人営業経験1年未満・フルリモート必須・賞与年2回必須・上場企業のみ希望」の候補者は合わない</t>
        </is>
      </c>
    </row>
    <row r="12">
      <c r="A12" t="inlineStr">
        <is>
          <t>出典：求人票（HRクラウド（旧Roots）株式会社）　※エージェントメモは求人票記載外の情報を含む</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求人票データ｜パーソルキャリア株式会社</t>
        </is>
      </c>
    </row>
    <row r="2">
      <c r="A2" t="inlineStr">
        <is>
          <t>リクルーティングコンサルタント（RC）／doda採用ソリューション事業部／大手町</t>
        </is>
      </c>
    </row>
    <row r="3">
      <c r="A3" t="inlineStr">
        <is>
          <t>掲載日</t>
        </is>
      </c>
      <c r="B3" t="inlineStr">
        <is>
          <t>2026/03/13</t>
        </is>
      </c>
    </row>
    <row r="4">
      <c r="A4" t="inlineStr">
        <is>
          <t>必須要件（Must）</t>
        </is>
      </c>
      <c r="B4" t="inlineStr">
        <is>
          <t>・以下いずれかのご経験：
　①個人予算を持った営業（法人・個人不問）
　②採用人事のご経験
※大卒以上</t>
        </is>
      </c>
    </row>
    <row r="5">
      <c r="A5" t="inlineStr">
        <is>
          <t>歓迎要件（Want）</t>
        </is>
      </c>
      <c r="B5" t="inlineStr">
        <is>
          <t>・人材業界での法人営業経験（人材紹介・求人広告・派遣等）
・無形商材での法人営業経験（金融・IT・WEBサービス等）</t>
        </is>
      </c>
    </row>
    <row r="6">
      <c r="A6" t="inlineStr">
        <is>
          <t>仕事内容（概要）</t>
        </is>
      </c>
      <c r="B6" t="inlineStr">
        <is>
          <t>dodaの求人サイト・ダイレクトソーシングサービス「dodaダイレクト」等を通じて、法人企業の採用課題を解決するソリューション営業ポジション。
新規・既存両面を担当し、課題ヒアリング〜採用手法提案〜運用改善まで一気通貫で担当。
【主な業務】
・アポイント取得・ヒアリング・提案・導入・サービス導入後のフォロー
・1日2〜3件、月間40〜50件の商談（対面・オンライン）
・提案資料作成・効果・データ分析・テレアポ・チームMTG
【提案サービス例】
・doda求人情報サービス（日本最大級の転職情報サイト）
・dodaダイレクト（スカウト会員DBへの直接アクセス）
・doda転職フェア（来場者・出店企業数ともに日本最大級）
★20時PCシャットダウン制度・週1リモート・フレックス（コアタイム10:00〜15:00）
★中途入社者のほとんどが業界未経験から活躍
★社内キャリアチャレンジ制度（年2回）でマネジメント・他領域・バックオフィスへの転換可能
★2024年度「はたらきがいのある会社ランキング」大企業部門7位</t>
        </is>
      </c>
    </row>
    <row r="7">
      <c r="A7" t="inlineStr">
        <is>
          <t>求める人物像</t>
        </is>
      </c>
      <c r="B7" t="inlineStr">
        <is>
          <t>・困っている人を助けたいという純粋な気持ちを持っている人
・採用という経営課題に深く向き合い、顧客の自社採用力向上まで伴走できる人
・「はたらく」の課題解決に強い探求心を持つ人</t>
        </is>
      </c>
    </row>
    <row r="8">
      <c r="A8" t="inlineStr">
        <is>
          <t>ターゲット層の傾向</t>
        </is>
      </c>
      <c r="B8" t="inlineStr">
        <is>
          <t>【営業経験者・採用人事経験者・業界未経験歓迎型】
・20代後半〜30代前半がメイン層
・前職：個人予算を持った営業経験者または採用人事経験者が必須
・「doda」という業界大手ブランドを武器に幅広いソリューションを提案できる点は、特定商材に縛られたくない候補者に刺さる
・20時PCシャットダウン・フレックス・週1リモートという明確な働き方制度は、ワークライフバランス重視層への信頼性の高い訴求
・中途未経験からの活躍実績が豊富なため、人材・採用業界への転職を考える候補者への安心材料になる',</t>
        </is>
      </c>
    </row>
    <row r="9">
      <c r="A9" t="inlineStr">
        <is>
          <t>想定年収レンジ</t>
        </is>
      </c>
      <c r="B9" t="inlineStr">
        <is>
          <t>461万円〜765万円（残業20時間想定の場合）
月給：283,963円〜506,747円
　月額基本給：246,000円〜439,000円
　時間外勤務手当：全額支給（固定残業代なし）
昇給・賞与：年2回
【手当・福利厚生】
・通勤手当（条件範囲内で全額支給）
・確定拠出年金制度・従業員持株制度・財形貯蓄制度
・福利厚生倶楽部（リロクラブ提携）
・ベビーシッターサービス法人価格提供
・TOEIC優待試験・インフルエンザ予防接種補助</t>
        </is>
      </c>
    </row>
    <row r="10">
      <c r="A10" t="inlineStr">
        <is>
          <t>NG条件・懸念点</t>
        </is>
      </c>
      <c r="B10" t="inlineStr">
        <is>
          <t>【公式NG記載なし。以下は実務上の懸念点】
・個人予算を持った営業経験または採用人事経験のいずれかが必須（完全未経験は対象外）
・大卒以上の学歴要件あり
・週3日以上出社（月12日以上）が必須のため、フルリモート希望者には合わない
・固定残業代なし・全額支給の体系のため、残業が増えた場合の月収変動に注意
・適性検査（ストレス耐性・ポジション適性確認・30分程度のWeb検査）あり</t>
        </is>
      </c>
    </row>
    <row r="11">
      <c r="A11" t="inlineStr">
        <is>
          <t>エージェントメモ
（裏の評価・社風）</t>
        </is>
      </c>
      <c r="B11" t="inlineStr">
        <is>
          <t>・「doda」は転職業界で国内最大級のブランド。「強いブランド力の商材を使って提案したい」候補者への訴求が非常にしやすい
・20時PCシャットダウン制度という具体的なルールは、「残業が少ない」訴求において信頼性が非常に高い
・月商談40〜50件という活動量は、「たくさん動いて実力をつけたい」候補者への成長環境としての訴求になる
・社内キャリアチャレンジ制度（年2回）によるキャリアチェンジ実績は、「営業だけでなく別の領域にも挑戦したい」候補者への強いフック
・「はたらきがいのある会社大企業部門7位」という実績は、社風の良さとして信頼性を与えやすい
・NG評価ポイント：「営業・採用人事の経験なし・大卒未満・フルリモート必須・週3出社が難しい」候補者は合わない</t>
        </is>
      </c>
    </row>
    <row r="12">
      <c r="A12" t="inlineStr">
        <is>
          <t>出典：求人票（パーソルキャリア株式会社）　※エージェントメモは求人票記載外の情報を含む</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求人票データ｜株式会社タイミー</t>
        </is>
      </c>
    </row>
    <row r="2">
      <c r="A2" t="inlineStr">
        <is>
          <t>【コンサルティングセールス（新規領域開拓）】スキマバイトアプリ「タイミー」／港区</t>
        </is>
      </c>
    </row>
    <row r="3">
      <c r="A3" t="inlineStr">
        <is>
          <t>掲載日</t>
        </is>
      </c>
      <c r="B3" t="inlineStr">
        <is>
          <t>2026/03/13</t>
        </is>
      </c>
    </row>
    <row r="4">
      <c r="A4" t="inlineStr">
        <is>
          <t>必須要件（Must）</t>
        </is>
      </c>
      <c r="B4" t="inlineStr">
        <is>
          <t>・無形法人営業経験3年以上
・運転免許</t>
        </is>
      </c>
    </row>
    <row r="5">
      <c r="A5" t="inlineStr">
        <is>
          <t>歓迎要件（Want）</t>
        </is>
      </c>
      <c r="B5" t="inlineStr">
        <is>
          <t>・無形商材のご経験（人材/広告/IT/金融など）
・介護領域の知見</t>
        </is>
      </c>
    </row>
    <row r="6">
      <c r="A6" t="inlineStr">
        <is>
          <t>仕事内容（概要）</t>
        </is>
      </c>
      <c r="B6" t="inlineStr">
        <is>
          <t>スキマバイトアプリ「タイミー」（ワーカー数1,190万人・導入事業者数200,000社）のコンサルティングセールスポジション。
新規業界（介護業界を中心とした企業群）への開拓から、既存アカウントの継続利用・拡大までを担う一気通貫型。
【主な業務】
・ISからトスアップされた商談の実行
・担当クライアントへの経営課題・人材課題のヒアリング
・課題解決のための施策検討・資料作成・提案（集客見込み・人件費シミュレーション等）
・BIツール（Looker等）を使用したデータ分析
・受注後の導入支援（求人写真・文面・時給設定等のコンサルティング）
・既存クライアントとの中長期的リレーション構築
・大手クライアント専属担当として経営層との商談・プレゼン
・現場訪問によるBPR実施
★SaaSと異なる成果報酬型サービス（1稼働ごとに売上発生）のため、常に「攻めのセールス」が求められる環境
★10→100の拡大フェーズを経験できる
★平均残業20〜30時間/月・フレックス勤務・子育て社員多数</t>
        </is>
      </c>
    </row>
    <row r="7">
      <c r="A7" t="inlineStr">
        <is>
          <t>求める人物像</t>
        </is>
      </c>
      <c r="B7" t="inlineStr">
        <is>
          <t>・既存のやり方に囚われず、顧客の課題解決を広く考え、早く動ける人
・自律的・能動的・主体的に行動でき、担当領域の当事者としてコミットできる人
・セールス・CS等の役割にとどまらず幅広く経験とスキルを身につけたい人
・日本の労働市場の課題解決にオーナーシップを持って取り組める人</t>
        </is>
      </c>
    </row>
    <row r="8">
      <c r="A8" t="inlineStr">
        <is>
          <t>ターゲット層の傾向</t>
        </is>
      </c>
      <c r="B8" t="inlineStr">
        <is>
          <t>【無形法人営業3年以上・コンサル志向・社会課題志向型】
・20代後半〜30代前半がメイン層
・前職：無形商材の法人営業3年以上（人材・広告・IT・金融経験者に親和性高め）
・「1,190万人のワーカー・導入事業者20万社」という圧倒的なサービス規模は候補者への信頼感に繋がる
・成果報酬型（SaaSと異なる）という特性は「売って終わりではなく伴走し続ける」営業スタイルを求める候補者に刺さる
・介護業界という社会課題への貢献実感は、社会的意義を求める候補者に強く響く</t>
        </is>
      </c>
    </row>
    <row r="9">
      <c r="A9" t="inlineStr">
        <is>
          <t>想定年収レンジ</t>
        </is>
      </c>
      <c r="B9" t="inlineStr">
        <is>
          <t>580万円〜700万円
平均残業：20〜30時間/月
フレックス勤務可
年間休日：記載なし（土日祝・夏季・年末年始含む）
※詳細な給与体系・手当は選考過程で開示</t>
        </is>
      </c>
    </row>
    <row r="10">
      <c r="A10" t="inlineStr">
        <is>
          <t>NG条件・懸念点</t>
        </is>
      </c>
      <c r="B10" t="inlineStr">
        <is>
          <t>【公式NG記載なし。以下は実務上の懸念点】
・無形法人営業3年以上が必須のため、経験が浅い候補者は対象外
・運転免許が必須（現場訪問・BPR実施のため）
・成果報酬型サービスのため「売ったら終わり」ではなく継続的な稼働増加へのコミットが求められる（受け身な候補者には合わない）
・新規業界開拓のため、ある程度の不確実性・試行錯誤を楽しめる候補者が対象
・給与の詳細体系が求人票に明示されていないため、選考過程での確認が必要</t>
        </is>
      </c>
    </row>
    <row r="11">
      <c r="A11" t="inlineStr">
        <is>
          <t>エージェントメモ
（裏の評価・社風）</t>
        </is>
      </c>
      <c r="B11" t="inlineStr">
        <is>
          <t>・「タイミー」はワーカー1,190万人・導入事業者20万社という圧倒的なサービス規模。「強いプロダクトで社会課題に挑める」訴求がしやすい
・SaaSと異なる成果報酬型（1稼働ごとに売上）というユニークなビジネスモデルは、「攻めのセールス」「真のコンサル営業」を求める候補者に刺さる
・介護業界への新規開拓という日本の社会課題（少子高齢化・人手不足）への直接的な貢献実感は、使命感を持ちたい候補者への強いフック
・10→100の拡大フェーズという成長ストーリーは、「スケールする組織に関わりたい」候補者への訴求材料
・子育て社員多数・フレックス勤務柔軟という働き方は、ライフイベントを抱える候補者への安心材料
・NG評価ポイント：「無形営業3年未満・運転免許なし・受け身なCS志向・不確実性が苦手・介護業界に全く興味なし」候補者は合わない</t>
        </is>
      </c>
    </row>
    <row r="12">
      <c r="A12" t="inlineStr">
        <is>
          <t>出典：求人票（株式会社タイミー）　※エージェントメモは求人票記載外の情報を含む</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求人票データ｜株式会社アサイン</t>
        </is>
      </c>
    </row>
    <row r="2">
      <c r="A2" t="inlineStr">
        <is>
          <t>【両面型エージェント】若手ハイキャリア人材向け／未経験歓迎／リモート週3／霞が関</t>
        </is>
      </c>
    </row>
    <row r="3">
      <c r="A3" t="inlineStr">
        <is>
          <t>掲載日</t>
        </is>
      </c>
      <c r="B3" t="inlineStr">
        <is>
          <t>2026/03/13</t>
        </is>
      </c>
    </row>
    <row r="4">
      <c r="A4" t="inlineStr">
        <is>
          <t>必須要件（Must）</t>
        </is>
      </c>
      <c r="B4" t="inlineStr">
        <is>
          <t>・高い実績に向けて努力をされてきた方
　（勉強・スポーツ・社会人での実績など）
※大学院・大学卒以上</t>
        </is>
      </c>
    </row>
    <row r="5">
      <c r="A5" t="inlineStr">
        <is>
          <t>歓迎要件（Want）</t>
        </is>
      </c>
      <c r="B5" t="inlineStr">
        <is>
          <t>・コンサル・SaaS等の業界知識
・人材・キャリア支援への強い関心
・成果主義環境での就業経験</t>
        </is>
      </c>
    </row>
    <row r="6">
      <c r="A6" t="inlineStr">
        <is>
          <t>仕事内容（概要）</t>
        </is>
      </c>
      <c r="B6" t="inlineStr">
        <is>
          <t>コンサル・SaaS等幅広い業種に強みを持つ若手ハイキャリア人材向けエージェントにて、両面型キャリアエージェントとして活躍するポジション。
未経験者95%・第二新卒歓迎。
【主な業務】
・スカウト媒体等を用いた求職者の募集
・全10回程度の面談での転職支援
　└最初の3回：価値観の深堀り・中長期キャリアプラン策定
　└その後：求人紹介・面接対策
・意思決定フォロー・入社後の活躍サポート
・希望年収に関する企業との交渉・入社日調整
※月平均20〜30名のカウンセリング・1エージェントあたり毎月2〜3名の支援実績
【育成体制】
・社内勉強ツール（ビジョン・エージェント心構え・レベル別面談方法・トップエージェントの面談音声等）
・毎朝30分のベテランとの1on1（求職者面談の事前準備）
・候補者MTG（担当転職者一人ひとりへの全体相談会）
★インセンティブ年3回支給
★フルフレックス・週3リモート（週2出社指定日あり）
★サブミッション制度（新規事業・企画・経営・コーポレート業務へも挑戦可）
★育休後復帰率100%</t>
        </is>
      </c>
    </row>
    <row r="7">
      <c r="A7" t="inlineStr">
        <is>
          <t>求める人物像</t>
        </is>
      </c>
      <c r="B7" t="inlineStr">
        <is>
          <t>・経歴より「個性」を重視する文化に共感できる人
・求職者一人ひとりの人生と向き合い、転職後もキャリアサポートを続けられる人
・成果主義の環境で大きくキャリアアップしたい人
・エージェント業務以外にも新規事業・経営に関わりたい人</t>
        </is>
      </c>
    </row>
    <row r="8">
      <c r="A8" t="inlineStr">
        <is>
          <t>ターゲット層の傾向</t>
        </is>
      </c>
      <c r="B8" t="inlineStr">
        <is>
          <t>【未経験歓迎・成果志向・ハイキャリア志向型】
・第二新卒〜20代後半がメイン層（未経験者95%）
・前職：業種・職種不問（高い実績に向けて努力してきた経験があれば可）
・「コンサル・SaaS特化の若手ハイキャリア転職」という希少な領域は、自分自身もハイキャリアを目指す候補者が共感しやすい
・入社2年目747万・3年目976万・4年目1,773万という具体的なモデル年収は強烈なインパクトがある
・霞が関ビルディングというオフィス立地＋週3リモートの働き方は、働く環境の質として訴求しやすい</t>
        </is>
      </c>
    </row>
    <row r="9">
      <c r="A9" t="inlineStr">
        <is>
          <t>想定年収レンジ</t>
        </is>
      </c>
      <c r="B9" t="inlineStr">
        <is>
          <t>400万円〜700万円（最低保証年収400万円）
月給：285,800円〜583,000円
　基本給：212,765円〜440,400円
　固定残業代：73,035円〜142,600円（45h分）
　※超過分は別途支給
インセンティブ：年3回支給（成果に応じて支給）
昇給：あり
【モデル年収】
・入社2年目：747万円
・入社3年目：976万円
・入社4年目：1,773万円
試用期間：6ヶ月
年間休日：120日（土日祝）</t>
        </is>
      </c>
    </row>
    <row r="10">
      <c r="A10" t="inlineStr">
        <is>
          <t>NG条件・懸念点</t>
        </is>
      </c>
      <c r="B10" t="inlineStr">
        <is>
          <t>【公式NG記載なし。以下は実務上の懸念点】
・試用期間6ヶ月は長め（待遇変更なしだが注意喚起は必要）
・固定残業45h含む月給体系のため実質的な時給は要確認
・週2出社指定日があるため、完全リモート希望者には合わない
・未上場企業のため、上場企業の安定感を重視する候補者には説明が必要
・モデル年収（4年目1,773万）は上位実績者ベースのため、全員が到達できるわけではない点の説明が必要
・月20〜30名のカウンセリングという業務量は、人と向き合い続けることへの体力・精神力が求められる</t>
        </is>
      </c>
    </row>
    <row r="11">
      <c r="A11" t="inlineStr">
        <is>
          <t>エージェントメモ
（裏の評価・社風）</t>
        </is>
      </c>
      <c r="B11" t="inlineStr">
        <is>
          <t>・入社2年目747万・3年目976万・4年目1,773万という具体的かつ衝撃的なモデル年収は、成果主義志向の候補者への最強の訴求材料
・未経験者95%・第二新卒歓迎という広い入口は、「経歴に自信がないが成長したい」候補者への強いフック
・「全10回の面談でキャリアプランを策定する」という深い支援スタイルは、「転職を本気でサポートしたい」候補者の共感を生みやすい
・毎朝のベテランとの1on1という充実した育成体制は、「未経験でも安心して入れる」訴求として使いやすい
・サブミッション制度（新規事業・経営への挑戦）は、「エージェント業務以外にも関わりたい」候補者への差別化フック
・NG評価ポイント：「大卒未満・完全リモート必須・成果主義に抵抗がある・人と深く向き合うことが苦手」候補者は合わない</t>
        </is>
      </c>
    </row>
    <row r="12">
      <c r="A12" t="inlineStr">
        <is>
          <t>出典：求人票（株式会社アサイン）　※エージェントメモは求人票記載外の情報を含む</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求人票データ｜株式会社Low Code</t>
        </is>
      </c>
    </row>
    <row r="2">
      <c r="A2" t="inlineStr">
        <is>
          <t>【エンタープライズセールス】DXコンサル／生成AI×ローコード／第二新卒歓迎／五反田</t>
        </is>
      </c>
    </row>
    <row r="3">
      <c r="A3" t="inlineStr">
        <is>
          <t>掲載日</t>
        </is>
      </c>
      <c r="B3" t="inlineStr">
        <is>
          <t>2026/03/13</t>
        </is>
      </c>
    </row>
    <row r="4">
      <c r="A4" t="inlineStr">
        <is>
          <t>必須要件（Must）</t>
        </is>
      </c>
      <c r="B4" t="inlineStr">
        <is>
          <t>・ローコードツール／生成AIへの強い興味関心・学習意欲
・法人向けコンサルティング営業経験1年以上
※大卒以上</t>
        </is>
      </c>
    </row>
    <row r="5">
      <c r="A5" t="inlineStr">
        <is>
          <t>歓迎要件（Want）</t>
        </is>
      </c>
      <c r="B5" t="inlineStr">
        <is>
          <t>・エンタープライズ企業への営業経験
・Microsoft製品の利用経験
・無形商材の営業経験</t>
        </is>
      </c>
    </row>
    <row r="6">
      <c r="A6" t="inlineStr">
        <is>
          <t>仕事内容（概要）</t>
        </is>
      </c>
      <c r="B6" t="inlineStr">
        <is>
          <t>Microsoft製品を導入している大手企業の経営層・経営企画部・DX推進部に向けて、生成AI・ローコードツールの活用〜定着支援を提供するエンタープライズセールスポジション。
課題ヒアリング〜施策提案〜クロージングまで一気通貫で担当。
【主な業務】
・新規顧客開拓・リードジェネレーション
・ナーチャリング施策の企画・実行
・ヒアリング・要件整理・提案資料・見積書作成
・商談・プレゼンテーション対応・契約クロージング
・既存顧客への追加提案・深耕営業
・レポーティング・データ管理・社内連携
★元Microsoftの代表をはじめ、大手IT・Web/ITベンチャー出身メンバーが揃う環境
★毎朝9:30の朝会・技術インプット会など情報共有が盛んな組織
★ChatGPT Plus利用額負担・ディスプレイ完備
★平均年齢33歳・2024年2月創業のスタートアップ（拡大フェーズ）
★原則出社（体調不良・悪天候時のリモート可）</t>
        </is>
      </c>
    </row>
    <row r="7">
      <c r="A7" t="inlineStr">
        <is>
          <t>求める人物像</t>
        </is>
      </c>
      <c r="B7" t="inlineStr">
        <is>
          <t>・生成AIやローコードなど世の中に革新をもたらす技術に強い関心を持っている人
・日本の発展に貢献し、顧客や社会に価値を提供したいという情熱を持つ人
・物事をポジティブに捉え、変化を楽しめる人
・表面的なことではなく本質的なビジネスを追求したい人</t>
        </is>
      </c>
    </row>
    <row r="8">
      <c r="A8" t="inlineStr">
        <is>
          <t>ターゲット層の傾向</t>
        </is>
      </c>
      <c r="B8" t="inlineStr">
        <is>
          <t>【コンサル営業経験者・AI・DX志向・スタートアップ志向型】
・20代後半〜30代前半がメイン層（平均年齢33歳）
・前職：法人向けコンサルティング営業1年以上が必須。エンタープライズ・Microsoft製品経験者に親和性高め
・「生成AI×ローコード×Microsoft」という最先端領域での経験は、IT・DX市場での市場価値向上を目指す候補者への強い訴求
・大手企業の経営層・DX推進部門と直接対話できる環境は、「上流で働きたい・経営課題に関わりたい」候補者に刺さる
・2024年2月創業のスタートアップ（17名）のため、0→1フェーズへの関与を求める候補者に向く</t>
        </is>
      </c>
    </row>
    <row r="9">
      <c r="A9" t="inlineStr">
        <is>
          <t>想定年収レンジ</t>
        </is>
      </c>
      <c r="B9" t="inlineStr">
        <is>
          <t>450万円〜600万円
月給：320,000円〜
　基本給：238,026円〜
　固定残業代：81,974円〜（45h分）
　※超過分は別途支給
賞与：年2回（評価連動）
昇給：年2回
年間休日：120日（完全週休2日・土日祝・夏季休暇あり）
試用期間：6ヶ月</t>
        </is>
      </c>
    </row>
    <row r="10">
      <c r="A10" t="inlineStr">
        <is>
          <t>NG条件・懸念点</t>
        </is>
      </c>
      <c r="B10" t="inlineStr">
        <is>
          <t>【公式NG記載なし。以下は実務上の懸念点】
・法人向けコンサルティング営業1年以上＋生成AI・ローコードへの強い関心が必須
・大卒以上の学歴要件あり
・試用期間6ヶ月は長め（待遇変更なしだが注意喚起は必要）
・原則出社（フルリモートは原則不可）のため、リモート志向の強い候補者には合わない
・2024年2月創業の17名のスタートアップのため、組織の安定性・将来性を重視する候補者には説明が必要
・固定残業45h含む月給体系のため実質的な時給は要確認</t>
        </is>
      </c>
    </row>
    <row r="11">
      <c r="A11" t="inlineStr">
        <is>
          <t>エージェントメモ
（裏の評価・社風）</t>
        </is>
      </c>
      <c r="B11" t="inlineStr">
        <is>
          <t>・「元Microsoftの代表×生成AI×ローコード」という組み合わせは、AI・DX領域での専門性を高めたい候補者への非常に強い訴求材料
・大手企業の経営層・DX推進部門との直接対話という上流経験は、「コンサルファーム的な仕事をしたい」候補者へのフックになる
・ChatGPT Plus利用額会社負担・技術インプット会など、AI・ローコードの最新知識を業務で習得できる環境は唯一無二
・Microsoft製品導入企業がターゲットという明確な市場設定は、「誰に何を売るのか」が明確なため候補者が具体的なイメージを持ちやすい
・2024年2月創業の拡大フェーズ・17名という規模は、「0から事業を作りたい・採用活動にも関われる」候補者への裁量感訴求になる
・NG評価ポイント：「コンサル営業経験なし・生成AI・ローコードに関心なし・リモート必須・スタートアップ環境が合わない・大卒未満」候補者は合わない</t>
        </is>
      </c>
    </row>
    <row r="12">
      <c r="A12" t="inlineStr">
        <is>
          <t>出典：求人票（株式会社Low Code）　※エージェントメモは求人票記載外の情報を含む</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求人票データ｜株式会社ヘイフィールド</t>
        </is>
      </c>
    </row>
    <row r="2">
      <c r="A2" t="inlineStr">
        <is>
          <t>【両面型CA】宅建Jobエージェント／不動産業界特化／営業未経験歓迎／恵比寿</t>
        </is>
      </c>
    </row>
    <row r="3">
      <c r="A3" t="inlineStr">
        <is>
          <t>掲載日</t>
        </is>
      </c>
      <c r="B3" t="inlineStr">
        <is>
          <t>2026/03/13</t>
        </is>
      </c>
    </row>
    <row r="4">
      <c r="A4" t="inlineStr">
        <is>
          <t>必須要件（Must）</t>
        </is>
      </c>
      <c r="B4" t="inlineStr">
        <is>
          <t>・顧客折衝経験（数値目標の達成に向けてPDCAを回した経験）
※業種・職種未経験・第二新卒歓迎
※大学院・大学卒以上</t>
        </is>
      </c>
    </row>
    <row r="5">
      <c r="A5" t="inlineStr">
        <is>
          <t>歓迎要件（Want）</t>
        </is>
      </c>
      <c r="B5" t="inlineStr">
        <is>
          <t>・人材/不動産/自動車/住宅金融/IT業界経験
・営業/接客販売/ウエディング/美容部員/ディーラー等の経験
・素直さ・明るさ・好感形成がある方
・チームとしての目標達成を主体的に考えられる方</t>
        </is>
      </c>
    </row>
    <row r="6">
      <c r="A6" t="inlineStr">
        <is>
          <t>仕事内容（概要）</t>
        </is>
      </c>
      <c r="B6" t="inlineStr">
        <is>
          <t>不動産業界特化の転職支援「宅建Jobエージェント」・建設業特化「建設ワークキャリア」にて、両面型（CA+RA）のキャリアアドバイザーとして活躍するポジション。
月間登録者数6,000名超。
【求職者側（CA）業務】
・求職者のカウンセリング
・求人紹介・選考対策
・内定・入社後フォロー
【企業側（RA）業務】
・人材のご紹介
・面接の調整・入社までのサポート
【育成体制】
・入社後2ヶ月間の研修（座学と実務を交互に繰り返し）
・バディ制度（入社後数ヶ月は二人三脚）
・オンボーディング動画・マニュアル・トップセールス研修・不動産勉強会等
・CA人数50名程（中途・CA未経験多数活躍中）
・中途入社者の92%が3ヶ月以内に初成約
★四半期インセンティブ（平均80万円・年平均320万円の支給実績）
★360度評価制度・年齢・勤続年数不問の実力主義
★1年未満でリーダー昇格事例あり
★完全週休2日（土日祝）・年休120日以上</t>
        </is>
      </c>
    </row>
    <row r="7">
      <c r="A7" t="inlineStr">
        <is>
          <t>求める人物像</t>
        </is>
      </c>
      <c r="B7" t="inlineStr">
        <is>
          <t>・素直さがある人
・明るく好感形成ができる人
・コミットした経験がある人
・個人とチーム両方の目標達成を主体的に考えられる人</t>
        </is>
      </c>
    </row>
    <row r="8">
      <c r="A8" t="inlineStr">
        <is>
          <t>ターゲット層の傾向</t>
        </is>
      </c>
      <c r="B8" t="inlineStr">
        <is>
          <t>【顧客折衝経験者・未経験歓迎・不動産・建設業界興味型】
・20代前半〜後半がメイン層（平均年齢29歳）
・前職：業種・職種不問（顧客折衝・数値目標へのコミット経験があれば可）
・「不動産業界特化×月間登録者6,000名超」という集客力は「成果を出しやすい環境」として訴求しやすい
・四半期インセンティブ年平均320万円という具体的な数字は、成果主義志向の候補者への強いフック
・92%が3ヶ月以内に初成約という実績は、未経験候補者への安心材料として非常に強い',</t>
        </is>
      </c>
    </row>
    <row r="9">
      <c r="A9" t="inlineStr">
        <is>
          <t>想定年収レンジ</t>
        </is>
      </c>
      <c r="B9" t="inlineStr">
        <is>
          <t>420万円〜800万円
月給：333,333円〜450,000円
　基本給：253,973円〜344,280円
　固定残業代：79,360円〜105,720円（40h分）
　※超過分は別途支給
昇給：年2回（4月・10月）
インセンティブ：四半期ごと（平均40万円以上・トップは四半期300万円超の実績）
年平均インセンティブ：320万円
年間休日：120日（完全週休2日・土日祝）
月残業平均：40時間程</t>
        </is>
      </c>
    </row>
    <row r="10">
      <c r="A10" t="inlineStr">
        <is>
          <t>NG条件・懸念点</t>
        </is>
      </c>
      <c r="B10" t="inlineStr">
        <is>
          <t>【公式NG記載なし。以下は実務上の懸念点】
・月残業平均40時間は人材紹介業界の中でも多め。残業が少ない環境を求める候補者には注意
・固定残業40h含む月給体系のため実質的な時給は要確認
・大卒以上の学歴要件あり
・不動産・建設業界特化のため、業界への興味・親和性がない候補者には業界訴求が難しい
・未上場企業（2019年設立・60名）のため、組織の安定性を重視する候補者には説明が必要</t>
        </is>
      </c>
    </row>
    <row r="11">
      <c r="A11" t="inlineStr">
        <is>
          <t>エージェントメモ
（裏の評価・社風）</t>
        </is>
      </c>
      <c r="B11" t="inlineStr">
        <is>
          <t>・「宅建Jobエージェント」は不動産業界特化×月間登録者6,000名超という集客力。「成果を出しやすいインフラが整っている」訴求がしやすい
・四半期インセンティブ年平均320万円・トップ四半期300万円超という実績は、成果主義志向候補者への非常に強力な訴求材料
・中途入社者の92%が3ヶ月以内に初成約という具体的な実績は、「未経験でも安心」という信頼感のある訴求
・2ヶ月間研修＋バディ制度＋動画マニュアル等の充実した育成体制は、「手厚く育ててもらいたい」候補者への安心材料
・恵比寿スクエア5Fというオフィス立地＋私服勤務は、働く環境の質として訴求できる
・NG評価ポイント：「残業少ない環境必須・大卒未満・不動産・建設業界に全く興味なし・成果主義が苦手」の候補者は合わない</t>
        </is>
      </c>
    </row>
    <row r="12">
      <c r="A12" t="inlineStr">
        <is>
          <t>出典：求人票（株式会社ヘイフィールド）　※エージェントメモは求人票記載外の情報を含む</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求人票データ｜株式会社Legaseed</t>
        </is>
      </c>
    </row>
    <row r="2">
      <c r="A2" t="inlineStr">
        <is>
          <t>コンサル・セールス職／人事採用コンサルティング×HRTech／品川</t>
        </is>
      </c>
    </row>
    <row r="3">
      <c r="A3" t="inlineStr">
        <is>
          <t>掲載日</t>
        </is>
      </c>
      <c r="B3" t="inlineStr">
        <is>
          <t>2026/03/13</t>
        </is>
      </c>
    </row>
    <row r="4">
      <c r="A4" t="inlineStr">
        <is>
          <t>必須要件（Must）</t>
        </is>
      </c>
      <c r="B4" t="inlineStr">
        <is>
          <t>・営業経験者（商材不問）
※業界未経験歓迎・大学院・大学卒以上</t>
        </is>
      </c>
    </row>
    <row r="5">
      <c r="A5" t="inlineStr">
        <is>
          <t>歓迎要件（Want）</t>
        </is>
      </c>
      <c r="B5" t="inlineStr">
        <is>
          <t>・無形商材の営業経験
・人事・採用・組織コンサルティング領域への関心
・HRTechプロダクトへの興味</t>
        </is>
      </c>
    </row>
    <row r="6">
      <c r="A6" t="inlineStr">
        <is>
          <t>仕事内容（概要）</t>
        </is>
      </c>
      <c r="B6" t="inlineStr">
        <is>
          <t>「はたらくを、しあわせに」をミッションに人事採用コンサルティング・社員教育・組織活性・人事制度構築を展開する会社にて、セールスまたはコンサルタントとして活躍するポジション。
全国650社以上の組織コンサルティング実績・延べ10万人超の受講生実績。
【セールス業務】
①人事・採用コンサルティングサービスの提案（経営者向け）
　・アポイント取り（アウト/インバウンド）→商談→追客→契約締結→コンサルタントへ引継ぎ
②HRTechプロダクト「Infra」「miryo?」の提案（人事向け）
　・アポイント取り→商談→追客→契約締結→リピートセールス
【コンサルタント業務】
・採用活動の全体戦略設計
・定期コンサルティング
・学生集客や選考会の運営支援
・周辺商材へのリピートセールス（クロスセル・アップセル）
★パッケージ販売ではなく顧客の採用課題に合わせたオーダーメイド型提案
★ストックオプション制度あり
★Legaseed Academy（人事コンサルタント認定制度）など充実の教育制度
★品川グランドセントラルタワー24F勤務（2025年〜）
★育休後復帰率100%</t>
        </is>
      </c>
    </row>
    <row r="7">
      <c r="A7" t="inlineStr">
        <is>
          <t>求める人物像</t>
        </is>
      </c>
      <c r="B7" t="inlineStr">
        <is>
          <t>・「100%当事者」「オールウィン」「即決即実行」など10の行動指針に共感できる人
・顧客の採用課題に対してオーダーメイドで提案・実行できる人
・20代で年収1,000万円を目指したい成果主義志向の人</t>
        </is>
      </c>
    </row>
    <row r="8">
      <c r="A8" t="inlineStr">
        <is>
          <t>ターゲット層の傾向</t>
        </is>
      </c>
      <c r="B8" t="inlineStr">
        <is>
          <t>【営業経験者・コンサル志向・HRTech興味型】
・20代後半〜30代前半がメイン層
・前職：営業経験者（商材不問）が必須。人事・採用・コンサル系の経験者に特に親和性高め
・「650社以上のコンサル実績×延べ10万人の研修実績」という実績は、「本物のコンサルスキルが身につく」訴求として使いやすい
・ストックオプション制度あり・品川の大型オフィスという環境は、成長フェーズへの期待感と働く環境の質を訴求できる
・中小企業の経営者相手のオーダーメイド提案は、「型通りの営業ではなく本質的な課題解決がしたい」候補者に刺さる',</t>
        </is>
      </c>
    </row>
    <row r="9">
      <c r="A9" t="inlineStr">
        <is>
          <t>想定年収レンジ</t>
        </is>
      </c>
      <c r="B9" t="inlineStr">
        <is>
          <t>400万円〜600万円（年俸制）
月額：333,000円〜500,000円（12分割）
　基本給：2,457,180円〜3,689,820円（年額）
　固定残業代：66,510円〜99,810円/月（45h分）
　※超過分は別途支給
昇給：年1回
賞与：年2回（1年以上勤続者が対象）
ストックオプション制度あり
年間休日：120日（週休2日・土日祝）
試用期間：6ヶ月</t>
        </is>
      </c>
    </row>
    <row r="10">
      <c r="A10" t="inlineStr">
        <is>
          <t>NG条件・懸念点</t>
        </is>
      </c>
      <c r="B10" t="inlineStr">
        <is>
          <t>【公式NG記載なし。以下は実務上の懸念点】
・試用期間6ヶ月は長め（待遇変更なし）
・年俸制のため賞与は別途支給（1年未満は賞与対象外）
・固定残業45h含む年俸体系のため実質的な時給は要確認
・8:25〜17:25の固定時間制（フレックスではない）
・未上場企業のため、上場企業の安定感を重視する候補者には説明が必要
・「10の行動指針」という独自カルチャーへの共感が重要なため、文化fit確認が必要',</t>
        </is>
      </c>
    </row>
    <row r="11">
      <c r="A11" t="inlineStr">
        <is>
          <t>エージェントメモ
（裏の評価・社風）</t>
        </is>
      </c>
      <c r="B11" t="inlineStr">
        <is>
          <t>・「はたらくを、しあわせに」というビジョンの明確さと代表のメディア露出（クローズアップ現代・WBS等）は、会社・代表の信頼感を高める訴求材料
・650社以上のコンサル実績・延べ10万人の研修実績という具体的な数字は、「本物のコンサルスキルが身につく」という訴求の信頼性を高める
・ストックオプション制度は、未上場企業への不安を「上場時の期待リターン」に変換できる訴求材料
・Legaseed Academy（人事コンサルタント認定制度）という社内資格制度は、専門性の高さと成長環境の訴求に使いやすい
・品川グランドセントラルタワー24Fという立地・オフィス環境は、働く場の質として候補者の印象に残りやすい
・NG評価ポイント：「営業経験なし・固定時間制が嫌い・試用期間6ヶ月に抵抗・カルチャーfit重視の選考が苦手・年俸制に抵抗」の候補者は合わない</t>
        </is>
      </c>
    </row>
    <row r="12">
      <c r="A12" t="inlineStr">
        <is>
          <t>出典：求人票（株式会社Legaseed）　※エージェントメモは求人票記載外の情報を含む</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求人票データ｜株式会社ネクストビート</t>
        </is>
      </c>
    </row>
    <row r="2">
      <c r="A2" t="inlineStr">
        <is>
          <t>「保育士バンク！」両面型キャリアアドバイザー／全国／保育業界特化</t>
        </is>
      </c>
    </row>
    <row r="3">
      <c r="A3" t="inlineStr">
        <is>
          <t>掲載日</t>
        </is>
      </c>
      <c r="B3" t="inlineStr">
        <is>
          <t>2026/03/16</t>
        </is>
      </c>
    </row>
    <row r="4">
      <c r="A4" t="inlineStr">
        <is>
          <t>必須要件（Must）</t>
        </is>
      </c>
      <c r="B4" t="inlineStr">
        <is>
          <t>・正社員としてセールスもしくは販売サービス経験1年以上
※専門卒・短大卒以上</t>
        </is>
      </c>
    </row>
    <row r="5">
      <c r="A5" t="inlineStr">
        <is>
          <t>歓迎要件（Want）</t>
        </is>
      </c>
      <c r="B5" t="inlineStr">
        <is>
          <t>・無形商材のセールス経験
・リーダー・マネジメント経験
・スタートアップ・ミドルベンチャーでの勤務経験</t>
        </is>
      </c>
    </row>
    <row r="6">
      <c r="A6" t="inlineStr">
        <is>
          <t>仕事内容（概要）</t>
        </is>
      </c>
      <c r="B6" t="inlineStr">
        <is>
          <t>保育業界特化の転職プラットフォーム「保育士バンク！」にて、保育士のキャリア支援と保育施設の採用支援を両面で担うCAポジション。
全国の保育士が対象。エリアごとに5名程度のチーム体制。
【CA業務（toC）】
・求職者自身も気づいていない悩み・理想の言語化
・実現したいキャリア・人生設計のヒアリング
・最適な求人の提案・マッチング〜内定
・内定〜入職までの不安解消サポート
【RA業務（toB）】
・経営者・役職者からの経営課題（採用/集客/育成/ブランディング等）ヒアリング
・採用を軸とした経営課題に対するソリューション提案
・求人票の改善提案・選考オペレーション改善コンサルティング
・新規保育事業所の開拓
【育成体制】
・入社後4日間〜適時勉強会（セールスイネーブルメントチームによる専任サポート）
・基礎から実践トレーニングまで横断的なフォロー
・データ・営業ノウハウのナレッジ型化と共有
★グロービスeMBA受講制度・社内ジム（NB Fitness Lounge）・専属ネイティブ英会話講師等の充実した自己研鑽サポート
★ベビーシッター利用制度・家事代行利用補助等の生産性向上サポート</t>
        </is>
      </c>
    </row>
    <row r="7">
      <c r="A7" t="inlineStr">
        <is>
          <t>求める人物像</t>
        </is>
      </c>
      <c r="B7" t="inlineStr">
        <is>
          <t>・抽象的な悩みや希望を言語化し人のキャリア・人生に関わることに情熱を注げる人
・解決策を提案し人の人生の転機をよいものにしたい人
・社会課題（保育士不足・待機児童問題）をビジネスで解決したい人
・保育施設の経営視点を持ちたい人</t>
        </is>
      </c>
    </row>
    <row r="8">
      <c r="A8" t="inlineStr">
        <is>
          <t>ターゲット層の傾向</t>
        </is>
      </c>
      <c r="B8" t="inlineStr">
        <is>
          <t>【セールス・販売経験1年以上・社会課題志向型】
・20代後半〜30代前半がメイン層
・前職：正社員としてのセールス・販売経験1年以上が必須。無形商材経験者に親和性高め
・「保育士不足・待機児童問題」という明確な社会課題への共感は、使命感のある候補者への強い訴求になる
・グロービスeMBA・社内ジム・英会話レッスン等の充実した自己研鑽サポートは、自己投資意欲の高い候補者に刺さる
・全国展開（北海道〜沖縄）のため、地方転居可能な候補者にも選択肢を提供できる',</t>
        </is>
      </c>
    </row>
    <row r="9">
      <c r="A9" t="inlineStr">
        <is>
          <t>想定年収レンジ</t>
        </is>
      </c>
      <c r="B9" t="inlineStr">
        <is>
          <t>450万円〜600万円
　みなし残業40時間/月含む
【モデル年収】
・年収450万：試用期間終了後月給300,000円＋営業手当25,000円
・年収510万：試用期間終了後月給342,860円＋営業手当25,000円
給与改定：年2回
賞与：年2回
平均残業：32.2時間/月（昨年度実績）
試用期間：6ヶ月（試用期間中は月給257,145円〜）
年間休日：完全週休2日・祝日・夏季2日・年末年始・有給等</t>
        </is>
      </c>
    </row>
    <row r="10">
      <c r="A10" t="inlineStr">
        <is>
          <t>NG条件・懸念点</t>
        </is>
      </c>
      <c r="B10" t="inlineStr">
        <is>
          <t>正社員経験がない / 入社6ヵ月以内での早期離職 / 2年以内企業2社以上 / 離職期間6ヶ月以上 / メンタル系既往歴 / 大学在学6年以上 / 外国籍でN2以下</t>
        </is>
      </c>
    </row>
    <row r="11">
      <c r="A11" t="inlineStr">
        <is>
          <t>エージェントメモ
（裏の評価・社風）</t>
        </is>
      </c>
      <c r="B11" t="inlineStr">
        <is>
          <t>・「保育士バンク！」は保育業界特化のプラットフォームで認知度が高い。社会課題（保育士不足・待機児童）への貢献実感は、使命感のある候補者への非常に強いフック
・グロービスeMBA受講制度・社内ジム・専属英会話講師という自己研鑽サポートの充実度は業界でもトップクラス。自己投資志向の高い候補者に刺さる
・ベビーシッター・家事代行利用補助・病児保育補助など、子育て世代へのサポートが充実しているため、ライフイベントを抱える候補者へのアピール材料になる
・セールスイネーブルメントチーム（元トップセールス専任育成チーム）という高品質な育成体制は、「本物の営業力を身につけたい」候補者への訴求になる
・NG評価ポイント：「正社員経験1年未満・保育業界に全く興味なし・試用期間中の減給が気になる・全国転勤絶対NG」の候補者は合わない</t>
        </is>
      </c>
    </row>
    <row r="12">
      <c r="A12" t="inlineStr">
        <is>
          <t>出典：求人票（株式会社ネクストビート）　※エージェントメモは求人票記載外の情報を含む</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求人票データ｜大同生命保険株式会社</t>
        </is>
      </c>
    </row>
    <row r="2">
      <c r="A2" t="inlineStr">
        <is>
          <t>【全国型/営業オープンポジション】法人保険営業／個人ノルマ無／業界未経験歓迎</t>
        </is>
      </c>
    </row>
    <row r="3">
      <c r="A3" t="inlineStr">
        <is>
          <t>掲載日</t>
        </is>
      </c>
      <c r="B3" t="inlineStr">
        <is>
          <t>2026/03/13</t>
        </is>
      </c>
    </row>
    <row r="4">
      <c r="A4" t="inlineStr">
        <is>
          <t>必須要件（Must）</t>
        </is>
      </c>
      <c r="B4" t="inlineStr">
        <is>
          <t>・普通自動車免許
・初任地から全国転勤が可能な方
※大卒以上</t>
        </is>
      </c>
    </row>
    <row r="5">
      <c r="A5" t="inlineStr">
        <is>
          <t>歓迎要件（Want）</t>
        </is>
      </c>
      <c r="B5" t="inlineStr">
        <is>
          <t>・営業経験（異業界・個人・法人問わず）1年以上</t>
        </is>
      </c>
    </row>
    <row r="6">
      <c r="A6" t="inlineStr">
        <is>
          <t>仕事内容（概要）</t>
        </is>
      </c>
      <c r="B6" t="inlineStr">
        <is>
          <t>中小企業マーケットに特化した法人向け生命保険の営業職。適性・経験に応じて以下のいずれかに配属。
【配属ポジション（オープン）】
①税理士向け代理店営業：税理士・公認会計士の代理店に対して保険販売の研修・支援
②損害保険代理店営業：損害保険代理店への販売促進支援
③金融チャネル事業部：金融機関経由での法人保険販売
④法人営業：中小企業経営者への直接提案
★個人ノルマなし・チーム制で目標を追う
★飛び込み営業・親族・友人への勧誘は一切なし
★入社後2週間の座学研修＋約2ヶ月の先輩同行フォロー
★20時PCシャットダウン制度なし（フレックス・コアタイムなし）
★産休育休取得率男女ともに100%・プラチナくるみん認定・健康経営優良法人（ホワイト500）
★T&amp;Dホールディングス100%子会社・創業1902年の老舗大手
★全国109支社・従業員6,836名</t>
        </is>
      </c>
    </row>
    <row r="7">
      <c r="A7" t="inlineStr">
        <is>
          <t>求める人物像</t>
        </is>
      </c>
      <c r="B7" t="inlineStr">
        <is>
          <t>・困っている中小企業経営者の力になりたい人
・チームで目標を達成することにやりがいを感じる人
・長期的な信頼関係を築くことが好きな人
・全国各地で幅広いキャリアを積みたい人</t>
        </is>
      </c>
    </row>
    <row r="8">
      <c r="A8" t="inlineStr">
        <is>
          <t>ターゲット層の傾向</t>
        </is>
      </c>
      <c r="B8" t="inlineStr">
        <is>
          <t>【全国転勤可・営業経験者歓迎・安定志向型】
・20代後半〜30代前半がメイン層（平均年齢42歳の安定した組織）
・前職：業界不問の営業経験者が歓迎。免許必須のため、車運転が問題ない候補者が対象
・「個人ノルマなし・チーム制・飛び込みなし」という営業スタイルは、ノルマプレッシャーに疲れた候補者への強いフック
・T&amp;Dホールディングス傘下・創業1902年という圧倒的な安定性は、長期就業を求める候補者に刺さる
・全国転勤を楽しめる・または地方出身で地元に戻りたい候補者への選択肢になる',</t>
        </is>
      </c>
    </row>
    <row r="9">
      <c r="A9" t="inlineStr">
        <is>
          <t>想定年収レンジ</t>
        </is>
      </c>
      <c r="B9" t="inlineStr">
        <is>
          <t>596万円〜821万円
月給：365,000円〜
　基本給：315,000円〜
　固定残業代：50,000円〜（15h分）
　※超過分は別途支給
昇給・賞与：有（年2回）
ストックオプション制度あり
退職金制度あり
確定拠出年金制度あり
社宅制度あり
年間休日：120日（完全週休2日・土日祝）</t>
        </is>
      </c>
    </row>
    <row r="10">
      <c r="A10" t="inlineStr">
        <is>
          <t>NG条件・懸念点</t>
        </is>
      </c>
      <c r="B10" t="inlineStr">
        <is>
          <t>【公式NG記載なし。以下は実務上の懸念点】
・普通自動車免許が必須（全国転勤に伴い車移動が発生）
・全国転勤必須のため、転勤不可の候補者は対象外
・オープンポジションのため、配属先は選考後に決定（特定ポジションの確約なし）
・試用期間中はフレックス適用外（固定9:00〜17:00勤務）
・大卒以上の学歴要件あり
・非上場企業（T&amp;Dホールディングス100%子会社）</t>
        </is>
      </c>
    </row>
    <row r="11">
      <c r="A11" t="inlineStr">
        <is>
          <t>エージェントメモ
（裏の評価・社風）</t>
        </is>
      </c>
      <c r="B11" t="inlineStr">
        <is>
          <t>・「個人ノルマなし・チーム制・飛び込みなし・親族勧誘なし」という4点セットは、保険営業のネガティブイメージを覆す非常に強い訴求材料
・産休育休取得率男女100%・プラチナくるみん認定・健康経営優良法人（ホワイト500）という実績は、「働きやすい大企業」訴求として信頼性が高い
・創業1902年・全国109支社・T&amp;Dホールディングス傘下という安定性は、「長期的に安心して働きたい」候補者への最強の安心材料
・中小企業の経営者と深く関わる仕事は「経営者から学べる」「社会貢献できる」という訴求になる
・ストックオプション・退職金・社宅制度という手厚い福利厚生は、トータルの待遇訴求として強い
・NG評価ポイント：「転勤絶対NG・免許なし・大卒未満・安定より成果主義を好む」候補者は合わない</t>
        </is>
      </c>
    </row>
    <row r="12">
      <c r="A12" t="inlineStr">
        <is>
          <t>出典：求人票（大同生命保険株式会社）　※エージェントメモは求人票記載外の情報を含む</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求人票データ｜株式会社一休</t>
        </is>
      </c>
    </row>
    <row r="2">
      <c r="A2" t="inlineStr">
        <is>
          <t>【インサイドセールス】PayPayグルメ既存営業（契約社員）／永田町／業界未経験歓迎</t>
        </is>
      </c>
    </row>
    <row r="3">
      <c r="A3" t="inlineStr">
        <is>
          <t>掲載日</t>
        </is>
      </c>
      <c r="B3" t="inlineStr">
        <is>
          <t>2026/03/13</t>
        </is>
      </c>
    </row>
    <row r="4">
      <c r="A4" t="inlineStr">
        <is>
          <t>必須要件（Must）</t>
        </is>
      </c>
      <c r="B4" t="inlineStr">
        <is>
          <t>・社会人経験3年以上
・営業経験1年以上
・基本的なPCスキル
※大卒以上</t>
        </is>
      </c>
    </row>
    <row r="5">
      <c r="A5" t="inlineStr">
        <is>
          <t>歓迎要件（Want）</t>
        </is>
      </c>
      <c r="B5" t="inlineStr">
        <is>
          <t>・BtoBビジネスの業務経験
・営業・オンライン商談・カスタマーサクセスの業務経験</t>
        </is>
      </c>
    </row>
    <row r="6">
      <c r="A6" t="inlineStr">
        <is>
          <t>仕事内容（概要）</t>
        </is>
      </c>
      <c r="B6" t="inlineStr">
        <is>
          <t>レストラン予約サイト「PayPayグルメ」（LINEヤフーより委託）の既存クライアント（チェーン飲食店）を担当するインサイドセールスポジション。
【主な業務】
①ユーザーに喜ばれる企画・仕組みの提案
②クライアントの課題を解決するためのサポート営業
【担当範囲】
・個人のお店様〜ナショナルブランドの大手企業様まで
・既存契約済み施設のみ担当（※研修期間中は新規あり）
・日本全国の法人を担当（エリアは入社後決定）
・電話・メール・オンライン商談が中心
★完全内勤営業（東京本社勤務）
★土日祝休み・完全週休2日制・年休125日
★LINEヤフーグループとの連携による大規模プラットフォーム
★副業可・メンターメンティー制度・部活動費用補助あり
【注意】雇用形態は契約社員（初回3ヶ月・以降6ヶ月更新・上限3年）</t>
        </is>
      </c>
    </row>
    <row r="7">
      <c r="A7" t="inlineStr">
        <is>
          <t>求める人物像</t>
        </is>
      </c>
      <c r="B7" t="inlineStr">
        <is>
          <t>・ユーザーと飲食店の双方の視点から価値提供できる人
・内勤営業でデータ分析・提案を磨きたい人
・大手グループの安定した環境でキャリアを積みたい人</t>
        </is>
      </c>
    </row>
    <row r="8">
      <c r="A8" t="inlineStr">
        <is>
          <t>ターゲット層の傾向</t>
        </is>
      </c>
      <c r="B8" t="inlineStr">
        <is>
          <t>【営業経験者・内勤希望・フード・EC業界興味型】
・20代後半〜30代前半がメイン層（平均年齢32歳）
・前職：社会人経験3年以上・営業経験1年以上が必須
・「内勤・土日祝休み・完全週休2日」という働き方は、外回り営業に疲れた候補者への強い訴求
・「PayPayグルメ」というLINEヤフーグループのブランド力は、大手安定環境を求める候補者に刺さる
・既存顧客のみの担当（研修後）という営業環境の良さは、新規開拓に疲れた候補者向け
⚠️契約社員（上限3年）のため、正社員志向の強い候補者には要注意</t>
        </is>
      </c>
    </row>
    <row r="9">
      <c r="A9" t="inlineStr">
        <is>
          <t>想定年収レンジ</t>
        </is>
      </c>
      <c r="B9" t="inlineStr">
        <is>
          <t>450万円（想定年収）
月給：365,000円
　基本給：293,797円
　固定残業代：71,203円（30h分）
　※超過分は別途支給
昇給：年1回（4月）
賞与：なし
年間休日：125日（完全週休2日・土日祝）
退職金制度あり・副業可</t>
        </is>
      </c>
    </row>
    <row r="10">
      <c r="A10" t="inlineStr">
        <is>
          <t>NG条件・懸念点</t>
        </is>
      </c>
      <c r="B10" t="inlineStr">
        <is>
          <t>【公式NG記載なし。以下は実務上の懸念点】
・契約社員（上限3年）のため、正社員を強く希望する候補者には合わない
・賞与なし（昇給のみ）のため、賞与を重視する候補者には説明が必要
・固定残業30h含む月給体系のため実質的な時給は要確認
・大卒以上の学歴要件あり
・社会人経験3年以上・営業経験1年以上が必須のため、若手未経験は対象外
・研修期間中は新規営業あり（完全既存営業ではない点の説明が必要）</t>
        </is>
      </c>
    </row>
    <row r="11">
      <c r="A11" t="inlineStr">
        <is>
          <t>エージェントメモ
（裏の評価・社風）</t>
        </is>
      </c>
      <c r="B11" t="inlineStr">
        <is>
          <t>・「PayPayグルメ」はLINEヤフーグループのブランド力があり、「大手の仕事に関われる」訴求がしやすい
・「内勤・土日祝休み・既存顧客のみ」という組み合わせは、外回り・新規開拓に疲れた候補者への非常に魅力的な訴求
・退職金制度あり・副業可・メンター制度など福利厚生が充実している点は、契約社員という雇用形態の不安を緩和できる
・ユーザー視点とクライアント視点の両方を持ってサービス改善に関われる点は、マーケ志向の候補者にも訴求できる
・NG評価ポイント：「正社員必須・賞与重視・社会人経験3年未満・大卒未満・外回り営業を好む」候補者は合わない</t>
        </is>
      </c>
    </row>
    <row r="12">
      <c r="A12" t="inlineStr">
        <is>
          <t>出典：求人票（株式会社一休）　※エージェントメモは求人票記載外の情報を含む</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求人票データ｜株式会社オープンハウス</t>
        </is>
      </c>
    </row>
    <row r="2">
      <c r="A2" t="inlineStr">
        <is>
          <t>【マンション販売営業】イノバス・イノベイシア／東証プライム上場／渋谷</t>
        </is>
      </c>
    </row>
    <row r="3">
      <c r="A3" t="inlineStr">
        <is>
          <t>掲載日</t>
        </is>
      </c>
      <c r="B3" t="inlineStr">
        <is>
          <t>2026/03/13</t>
        </is>
      </c>
    </row>
    <row r="4">
      <c r="A4" t="inlineStr">
        <is>
          <t>必須要件（Must）</t>
        </is>
      </c>
      <c r="B4" t="inlineStr">
        <is>
          <t>・特になし（経験不問・ポテンシャル重視）
※高卒以上</t>
        </is>
      </c>
    </row>
    <row r="5">
      <c r="A5" t="inlineStr">
        <is>
          <t>歓迎要件（Want）</t>
        </is>
      </c>
      <c r="B5" t="inlineStr">
        <is>
          <t>・不動産・住宅・金融業界での営業経験
・接客・販売経験（どの業種でも可）
・宅地建物取引士資格保持者</t>
        </is>
      </c>
    </row>
    <row r="6">
      <c r="A6" t="inlineStr">
        <is>
          <t>仕事内容（概要）</t>
        </is>
      </c>
      <c r="B6" t="inlineStr">
        <is>
          <t>都心部好立地の自社ブランドマンション「イノバス」「イノベイシア」シリーズの販売営業ポジション。入社後すぐにオープンハウス・ディベロップメントへ出向。
【主な業務】
・反響や新規営業を通じた住宅購入希望者の集客
・条件ヒアリング・物件提案・案内
・資金計画サポート・ご契約まで一貫担当
★東京23区マンション供給棟数4年連続No.1（幅広い物件提案が可能）
★プライム市場上場・直近10年成長率28%・売上高1兆円超
★昇給昇格年4回（四半期ごとの表彰制度）
★20代でマネージャー昇格事例多数
★渋谷・飯田橋・横浜のいずれかのマンションギャラリー配属
★住宅購入支援金（上限200万円支給）・第三子出産祝金100万円など手厚い福利厚生
【勤務体系】土日祝9:00-19:00／月金13:00-21:00／木9:00-18:00（週休2日：火水）</t>
        </is>
      </c>
    </row>
    <row r="7">
      <c r="A7" t="inlineStr">
        <is>
          <t>求める人物像</t>
        </is>
      </c>
      <c r="B7" t="inlineStr">
        <is>
          <t>・ポテンシャル重視で成長したい人
・成果に応じた評価（昇給昇格年4回）で高年収を目指したい人
・不動産業界で市場価値を高めたい人
・チームで協力しながら成果を出すことが好きな人</t>
        </is>
      </c>
    </row>
    <row r="8">
      <c r="A8" t="inlineStr">
        <is>
          <t>ターゲット層の傾向</t>
        </is>
      </c>
      <c r="B8" t="inlineStr">
        <is>
          <t>【経験不問・成果志向・不動産志向型】
・20代前半〜後半がメイン層（平均年齢29歳）
・前職：業種・職種不問（教師・消防士・自衛隊・看護師・飲食など多様な入社実績）
・「東京23区マンション供給棟数No.1×プライム上場×成長率28%」という実績は、「強い商材を持つ大手で働きたい」候補者への強い訴求
・昇給昇格年4回という評価サイクルの速さは、成果を早く給与に反映させたい20代候補者に刺さる
・住宅購入支援金（上限200万円）・第三子出産祝金100万円などユニークな福利厚生は話題性がある',</t>
        </is>
      </c>
    </row>
    <row r="9">
      <c r="A9" t="inlineStr">
        <is>
          <t>想定年収レンジ</t>
        </is>
      </c>
      <c r="B9" t="inlineStr">
        <is>
          <t>528万円〜1,000万円
月給：360,000円〜
　基本給：242,500円〜
　固定残業代：87,500円〜（42h分）
　職種手当：30,000円
　※超過分は別途支給
賞与：年2回
昇給昇格：年4回（四半期表彰制度）
年間休日：110日（週休2日：火水・夏季10日・年末年始11日）
試用期間：5ヶ月</t>
        </is>
      </c>
    </row>
    <row r="10">
      <c r="A10" t="inlineStr">
        <is>
          <t>NG条件・懸念点</t>
        </is>
      </c>
      <c r="B10" t="inlineStr">
        <is>
          <t>【公式NG記載なし。以下は実務上の懸念点】
・休日が火水曜日のため、土日に休みたい候補者には合わない（要確認）
・月金は13:00〜21:00と夜間シフトになるため、夜間勤務に対する理解が必要
・固定残業42h含む月給体系のため実質的な時給は要確認
・試用期間5ヶ月は長め（待遇変更なし）
・入社後すぐに「オープンハウス・ディベロップメント」への出向となる点を説明必要
・年間休日110日は他業種比でやや少なめ',</t>
        </is>
      </c>
    </row>
    <row r="11">
      <c r="A11" t="inlineStr">
        <is>
          <t>エージェントメモ
（裏の評価・社風）</t>
        </is>
      </c>
      <c r="B11" t="inlineStr">
        <is>
          <t>・「東京23区マンション供給棟数4年連続No.1」という圧倒的な商品力は、「強い武器を持って営業したい」候補者への最強の訴求材料
・プライム市場上場・直近10年成長率28%・売上高1兆円超という成長ストーリーは、「成長企業で自分も成長したい」候補者に刺さる
・昇給昇格年4回という具体的な評価サイクルの速さは、「頑張りをすぐ給与に反映させたい」20代候補者への強いフック
・住宅購入支援金（上限200万円）・第三子出産祝金100万円などユニークな福利厚生は、話題性があり候補者の印象に残りやすい
・20代でマネージャー昇格多数という実績は、早期昇格志向の候補者への具体的な訴求になる
・NG評価ポイント：「土日完全休み必須・夜間シフト不可・年間休日120日以上必須・インセンティブ否定的」候補者は合わない</t>
        </is>
      </c>
    </row>
    <row r="12">
      <c r="A12" t="inlineStr">
        <is>
          <t>出典：求人票（株式会社オープンハウス）　※エージェントメモは求人票記載外の情報を含む</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求人票データ｜プロパティエージェント株式会社（ミガロホールディングス株式会社グループ）</t>
        </is>
      </c>
    </row>
    <row r="2">
      <c r="A2" t="inlineStr">
        <is>
          <t>【資産形成アドバイザー】投資用不動産営業／東証プライム上場G／新宿</t>
        </is>
      </c>
    </row>
    <row r="3">
      <c r="A3" t="inlineStr">
        <is>
          <t>掲載日</t>
        </is>
      </c>
      <c r="B3" t="inlineStr">
        <is>
          <t>2026/03/16</t>
        </is>
      </c>
    </row>
    <row r="4">
      <c r="A4" t="inlineStr">
        <is>
          <t>必須要件（Must）</t>
        </is>
      </c>
      <c r="B4" t="inlineStr">
        <is>
          <t>・営業や販売・サービス職などの顧客接点経験
・成長意欲があり、ポジティブなコミュニケーションが取れる方
※35歳未満・学歴不問・日本語ネイティブ</t>
        </is>
      </c>
    </row>
    <row r="5">
      <c r="A5" t="inlineStr">
        <is>
          <t>歓迎要件（Want）</t>
        </is>
      </c>
      <c r="B5" t="inlineStr">
        <is>
          <t>・営業経験3年程（BtoC・BtoB不問）
・証券・生保損保・銀行・広告代理店での営業経験
・宅地建物取引士・FP1級・FP2級保持者</t>
        </is>
      </c>
    </row>
    <row r="6">
      <c r="A6" t="inlineStr">
        <is>
          <t>仕事内容（概要）</t>
        </is>
      </c>
      <c r="B6" t="inlineStr">
        <is>
          <t>投資用不動産（東京23区・横浜エリア特化）のアドバイザーとして、問い合わせ顧客への新規開拓から長期的な資産形成サポートまでを担うポジション。
【配属部署（選考中に決定）】
①アセットプランニング部：新規開拓営業
②スマートセカンド部：反響営業
【主な業務】
・ターゲット市場のリサーチ・新規顧客開拓向け営業活動
・顧客とのコミュニケーションを通じた信頼関係構築・ニーズ把握
・既存顧客への定期的なフォローアップ・長期関係構築
・チーム内での情報共有・営業戦略改善
★東証プライム上場グループ・20期連続増収増益（2004年創業）
★入居率99.98%（2024年12月末）という高い商品力
★顧客の49%が年収1,000万円以上のハイクラス顧客
★2029年までに売上高1,000億円達成をビジョンに急成長中
★資格手当：宅建保持者は2万円/月
★初年度年俸保証可能',</t>
        </is>
      </c>
    </row>
    <row r="7">
      <c r="A7" t="inlineStr">
        <is>
          <t>求める人物像</t>
        </is>
      </c>
      <c r="B7" t="inlineStr">
        <is>
          <t>・がむしゃらに動ける×考えて改善できる人
・自分の実力を試したい人
・会社の拡大フェーズを一緒に楽しめる人
・営業数字にコミットし、周囲を巻き込む熱量のある人
・誠実でコンプライアンス遵守の意識がある人</t>
        </is>
      </c>
    </row>
    <row r="8">
      <c r="A8" t="inlineStr">
        <is>
          <t>ターゲット層の傾向</t>
        </is>
      </c>
      <c r="B8" t="inlineStr">
        <is>
          <t>【顧客接点経験者・不動産・資産形成志向型】
・20代前半〜30代前半がメイン層（35歳未満制限あり）
・前職：顧客接点のある職種（営業・販売・サービス）経験者が必須。証券・金融・保険経験者は特に親和性高め
・「入居率99.98%・顧客の49%が年収1,000万円以上」という商品・顧客の質の高さは、「本当に価値のある商材を提案したい」候補者に刺さる
・20期連続増収増益・東証プライム上場Gという安定実績は、ベンチャー的な成長感と大手の安定感を両立させた訴求になる
・初年度年俸保証可能という制度は、収入不安のある転職候補者への安心材料',</t>
        </is>
      </c>
    </row>
    <row r="9">
      <c r="A9" t="inlineStr">
        <is>
          <t>想定年収レンジ</t>
        </is>
      </c>
      <c r="B9" t="inlineStr">
        <is>
          <t>314万円〜450万円＋インセンティブ
月給：
　基本給：194,000円〜
　時間調整手当（45h分）：68,232円〜
　※固定残業代超過分は追加支給
【モデル年収（インセンティブ含む）】
・入社1年目（主任）：540万円
・入社3年目（課長）：880万円
・入社8年目（部長）：2,000万円
残業：月20〜35h程度
年間休日：124日＋指定有給5日
資格手当：宅建保持者2万円/月</t>
        </is>
      </c>
    </row>
    <row r="10">
      <c r="A10" t="inlineStr">
        <is>
          <t>NG条件・懸念点</t>
        </is>
      </c>
      <c r="B10" t="inlineStr">
        <is>
          <t>【公式NG記載なし。以下は実務上の懸念点】
・35歳未満の年齢制限あり
・固定残業45h含む月給体系のため実質的な時給は要確認（基本給194,000円〜は低め）
・新規開拓営業ありのため、完全反響型を希望する候補者には注意（スマートセカンド部は反響型）
・投資用不動産営業のため、業界特有のコンプライアンス意識が必要
・モデル年収はインセンティブ含む実績ベースのため、全員が達成できるわけではない点の説明が必要
・勤務時間：アセット部10:00〜19:00・スマセカ部は平日11:30〜20:30（夜間あり）',</t>
        </is>
      </c>
    </row>
    <row r="11">
      <c r="A11" t="inlineStr">
        <is>
          <t>エージェントメモ
（裏の評価・社風）</t>
        </is>
      </c>
      <c r="B11" t="inlineStr">
        <is>
          <t>・「20期連続増収増益・東証プライム上場G・入居率99.98%」という三拍子揃った実績は、候補者への信頼感訴求として非常に強力
・顧客の49%が年収1,000万円以上という顧客層の質の高さは、「ハイクラスの方々と仕事をしたい」候補者への刺さりが強い
・初年度年俸保証可能という制度は、転職直後の収入不安を払拭できる強い訴求材料
・2029年売上1,000億円ビジョン・急成長フェーズという成長ストーリーは、スケールアップに関わりたい候補者に刺さる
・宅建保持者に月2万円の資格手当という制度は、資格取得意欲のある候補者へのモチベーション訴求になる
・NG評価ポイント：「35歳以上・コンプライアンス意識が低い・夜間シフト不可・投資用不動産に倫理的抵抗がある」候補者は合わない</t>
        </is>
      </c>
    </row>
    <row r="12">
      <c r="A12" t="inlineStr">
        <is>
          <t>出典：求人票（プロパティエージェント株式会社（ミガロホールディングス株式会社グループ））　※エージェントメモは求人票記載外の情報を含む</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求人票データ｜株式会社はなまる</t>
        </is>
      </c>
    </row>
    <row r="2">
      <c r="A2" t="inlineStr">
        <is>
          <t>損害車の買取営業職（バイヤー職）／全国／本田圭佑CM企業</t>
        </is>
      </c>
    </row>
    <row r="3">
      <c r="A3" t="inlineStr">
        <is>
          <t>掲載日</t>
        </is>
      </c>
      <c r="B3" t="inlineStr">
        <is>
          <t>2026/03/16</t>
        </is>
      </c>
    </row>
    <row r="4">
      <c r="A4" t="inlineStr">
        <is>
          <t>必須要件（Must）</t>
        </is>
      </c>
      <c r="B4" t="inlineStr">
        <is>
          <t>・普通自動車免許
・簡単なPC操作</t>
        </is>
      </c>
    </row>
    <row r="5">
      <c r="A5" t="inlineStr">
        <is>
          <t>歓迎要件（Want）</t>
        </is>
      </c>
      <c r="B5" t="inlineStr">
        <is>
          <t>・接客や営業などでお客様との強い関係を築いた経験
・修理工場・板金工場などの経営者とのコミュニケーションを楽しめる方
・何か一つのことに打ち込んで努力した経験のある方</t>
        </is>
      </c>
    </row>
    <row r="6">
      <c r="A6" t="inlineStr">
        <is>
          <t>仕事内容（概要）</t>
        </is>
      </c>
      <c r="B6" t="inlineStr">
        <is>
          <t>事故車・故障車・水害車など損害車の買取営業（バイヤー職）ポジション。
自動車修理工場・カーディーラー・板金工場などを訪問して信頼関係を構築し、損害車情報を入手して査定・買取を行う。
【主な業務】
・自動車修理工場・カーディーラー・板金工場などへの訪問営業（関係構築）
・損害車の査定・買取（先輩や支店長の確認後に価格提示）
・日次の訪問スケジュール管理
【サポート体制】
・入社後1週間の研修（業界理解・社内システム・査定の仕方）
・次の1週間：先輩同行で実際の商談を見学
・その後1〜2週間：先輩に同行してもらいながら商談習得
・査定専門部署への相談可能・豊富な過去データ活用
・名義変更・販売は別部門が担当（仕入れに専念できる）
★国内・海外110ヶ国へのオークションサイト・独自販路・物流も自社保有
★元サッカー日本代表・本田圭佑さん起用のCMで全国的な知名度
★20代の5人に1人が役職者・実力主義
★全国転勤あり/なしを選択可能
★売上高606億円・従業員762名</t>
        </is>
      </c>
    </row>
    <row r="7">
      <c r="A7" t="inlineStr">
        <is>
          <t>求める人物像</t>
        </is>
      </c>
      <c r="B7" t="inlineStr">
        <is>
          <t>・明るく元気な方
・自身も会社もしっかり稼ぐことに熱意を持てる方
・早くキャリアアップして業務の幅を広げたい方
・結果が出るまで辛抱強く継続できる方</t>
        </is>
      </c>
    </row>
    <row r="8">
      <c r="A8" t="inlineStr">
        <is>
          <t>ターゲット層の傾向</t>
        </is>
      </c>
      <c r="B8" t="inlineStr">
        <is>
          <t>【未経験歓迎・車好き・営業志向・成果主義型】
・20代前半〜後半がメイン層（20代の5人に1人が役職者）
・前職：業種・職種不問（飲食店長・外回り営業・賃貸営業など多様な入社実績。整備士・車好きも歓迎）
・「本田圭佑さんのCM企業・全国的な知名度」という認知度は候補者の安心感に繋がる
・全国転勤あり/なしを選択できる柔軟性は、ライフスタイルに合わせた働き方を求める候補者へのフック
・インセンティブ（ランク制）による高年収は、成果主義志向の候補者に刺さる',</t>
        </is>
      </c>
    </row>
    <row r="9">
      <c r="A9" t="inlineStr">
        <is>
          <t>想定年収レンジ</t>
        </is>
      </c>
      <c r="B9" t="inlineStr">
        <is>
          <t>330万円〜354万円（固定給ベース）＋インセンティブ
【東京・神奈川・愛知・大阪等主要エリア】
・全国転勤あり：月給295,000円＋インセンティブ
・エリア限定（転勤なし）：月給285,000円＋インセンティブ
※基本給にみなし残業40時間含む
インセンティブ：毎月の買取実績により6段階ランク付け
昇給：年1回
【モデル年収】
・入社2年（副主任）：594万円
・入社4年（係長）：700万円
・入社8年（支店長）：1,200万円
退職金制度・確定拠出年金・社用車貸与（ガソリン・ETC全額支給）</t>
        </is>
      </c>
    </row>
    <row r="10">
      <c r="A10" t="inlineStr">
        <is>
          <t>NG条件・懸念点</t>
        </is>
      </c>
      <c r="B10" t="inlineStr">
        <is>
          <t>【公式NG記載なし。以下は実務上の懸念点】
・普通自動車免許が必須（外回り営業のため）
・みなし残業40h含む月給体系のため実質的な時給は要確認
・「損害車が来たときに連絡をもらえる関係作り」が仕事の核であり、成果が出るまで時間がかかる忍耐力が必要
・全国転勤あり/なしを選択できるが、転勤ありを選ぶ場合は転居を伴う異動の可能性あり
・業界（損害車買取）への親和性・理解が選考上重要</t>
        </is>
      </c>
    </row>
    <row r="11">
      <c r="A11" t="inlineStr">
        <is>
          <t>エージェントメモ
（裏の評価・社風）</t>
        </is>
      </c>
      <c r="B11" t="inlineStr">
        <is>
          <t>・「本田圭佑さんのCM企業」という知名度は、業界を知らない候補者への親しみやすい訴求になる
・国内・海外110ヶ国の独自販路・物流も自社保有という垂直統合型のビジネスモデルは、「価格競争力の強い商材を扱える」という訴求になる
・全国転勤あり/なしを選択できる柔軟性は、「地元で長く働きたい」「全国を経験したい」どちらの候補者にも訴求できる
・名義変更・販売は別部門が担当し「仕入れに専念できる」という分業体制は、「担当業務に集中したい」候補者へのフック
・20代の5人に1人が役職者という実績は、早期昇格志向の候補者への信頼性の高い訴求材料
・NG評価ポイント：「免許なし・忍耐力がなく即成果を求める・稼ぎへの意欲が低い・損害車業界に倫理的抵抗がある」候補者は合わない</t>
        </is>
      </c>
    </row>
    <row r="12">
      <c r="A12" t="inlineStr">
        <is>
          <t>出典：求人票（株式会社はなまる）　※エージェントメモは求人票記載外の情報を含む</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求人票データ｜株式会社IPPO</t>
        </is>
      </c>
    </row>
    <row r="2">
      <c r="A2" t="inlineStr">
        <is>
          <t>法人向け営業職／スタートアップ特化オフィス移転仲介・ハイッテ／渋谷</t>
        </is>
      </c>
    </row>
    <row r="3">
      <c r="A3" t="inlineStr">
        <is>
          <t>掲載日</t>
        </is>
      </c>
      <c r="B3" t="inlineStr">
        <is>
          <t>2026/03/16</t>
        </is>
      </c>
    </row>
    <row r="4">
      <c r="A4" t="inlineStr">
        <is>
          <t>必須要件（Must）</t>
        </is>
      </c>
      <c r="B4" t="inlineStr">
        <is>
          <t>・経験・業界不問
・情熱を持って未経験の業務に取り組める方</t>
        </is>
      </c>
    </row>
    <row r="5">
      <c r="A5" t="inlineStr">
        <is>
          <t>歓迎要件（Want）</t>
        </is>
      </c>
      <c r="B5" t="inlineStr">
        <is>
          <t>・営業のご経験
・宅地建物取引士の資格保持者
・不動産業界でのご経験
・スタートアップが好き・興味がある人</t>
        </is>
      </c>
    </row>
    <row r="6">
      <c r="A6" t="inlineStr">
        <is>
          <t>仕事内容（概要）</t>
        </is>
      </c>
      <c r="B6" t="inlineStr">
        <is>
          <t>スタートアップ・ベンチャー企業特化のオフィス移転仲介「ハイッテ」にて、法人向け営業職として活躍するポジション。
2018年創業の不動産×ITベンチャー（26名）。
【主な業務】
・ホームページ等からの問い合わせ・既存顧客紹介案件の対応（インバウンド中心）
・スタートアップ企業のオフィス移転ニーズに対するコンサルティング営業
・経営戦略・採用計画をヒアリングし最適なオフィスをデータベースをもとに提案
・原状回復・内装工事などオフィス関連の総合サポート
・20坪程度からスタート→3年後に100名規模の企業移転案件もお任せ
・VC・エンジェルと提携した「VCパッケージ」顧客へのサポート
★「不動産業界の商慣習を再定義し、これからのあたりまえを創る」という明確なミッション
★完全週休2日（土日祝）・年休124日
★住宅手当（会社から6km圏内等）・宅建合格祝い金10万円
★試用期間なし</t>
        </is>
      </c>
    </row>
    <row r="7">
      <c r="A7" t="inlineStr">
        <is>
          <t>求める人物像</t>
        </is>
      </c>
      <c r="B7" t="inlineStr">
        <is>
          <t>・スタートアップが好き・一緒に汗をかける人
・成長意欲の高い人・向上心のある人
・「観察せよ・実行せよ・証明せよ」というIPPOのバリューに共感できる人</t>
        </is>
      </c>
    </row>
    <row r="8">
      <c r="A8" t="inlineStr">
        <is>
          <t>ターゲット層の傾向</t>
        </is>
      </c>
      <c r="B8" t="inlineStr">
        <is>
          <t>【未経験歓迎・スタートアップ志向・ベンチャー志向型】
・20代前半〜後半がメイン層（26名の小規模ベンチャー）
・前職：業種・職種不問（未経験歓迎）。スタートアップ・ベンチャー好きな候補者が特に向く
・「スタートアップ企業を顧客とする仕事」は、スタートアップ文化に関わりたい候補者への刺さりが強い
・試用期間なしという珍しい制度は、「試用期間の不安がある」候補者への安心材料
・宅建合格祝い金10万円は、資格取得意欲のある候補者へのモチベーション訴求になる',</t>
        </is>
      </c>
    </row>
    <row r="9">
      <c r="A9" t="inlineStr">
        <is>
          <t>想定年収レンジ</t>
        </is>
      </c>
      <c r="B9" t="inlineStr">
        <is>
          <t>300万円〜360万円＋インセンティブ
月給：250,000円〜
　基本給：184,900円〜
　固定残業手当：65,100円〜（45h分）
　※超過分は別途支給
インセンティブ：成約金額に応じて支給
【モデル年収（インセンティブ含む）】
・25歳（経験1年・未経験）：430万円
・28歳（経験4年・役職あり）：800万円
・32歳（トップセールス）：2,460万円
年間休日：124日（完全週休2日・土日祝）
試用期間：なし</t>
        </is>
      </c>
    </row>
    <row r="10">
      <c r="A10" t="inlineStr">
        <is>
          <t>NG条件・懸念点</t>
        </is>
      </c>
      <c r="B10" t="inlineStr">
        <is>
          <t>【公式NG記載なし。以下は実務上の懸念点】
・固定残業45h含む月給体系のため実質的な時給は要確認（基本給184,900円〜は低め）
・26名の小規模ベンチャーのため、組織の安定性・将来性を重視する候補者には説明が必要
・未上場企業のため、上場企業の安定感を求める候補者には合わない
・モデル年収のトップ（2,460万円）は特定のトップセールスの実績のため、誤解を与えないよう説明が必要
・「住宅手当」は会社から6km圏内等の条件あり（渋谷近郊在住者向け）</t>
        </is>
      </c>
    </row>
    <row r="11">
      <c r="A11" t="inlineStr">
        <is>
          <t>エージェントメモ
（裏の評価・社風）</t>
        </is>
      </c>
      <c r="B11" t="inlineStr">
        <is>
          <t>・「スタートアップ企業のオフィス移転を支援する」という仕事内容は、スタートアップカルチャーが好きな候補者に非常に刺さる
・居抜きオフィスメディア「ハイッテ」という自社媒体を持つ点は、「ただの仲介ではなくテクノロジーも絡んだ不動産会社」という訴求差別化になる
・試用期間なし（珍しい）という制度は、「試用期間中の扱いが不安」な候補者への強い安心感訴求
・宅建合格祝い金10万円・住宅手当など、小規模ながらも手厚い制度は候補者の印象に残りやすい
・VCパッケージ（VC提携先スタートアップへの特典）というユニークなサービスは、スタートアップエコシステムに関心のある候補者への差別化訴求
・NG評価ポイント：「大企業の安定感必須・スタートアップに興味なし・高い固定給を求める・未上場企業に抵抗がある」候補者は合わない</t>
        </is>
      </c>
    </row>
    <row r="12">
      <c r="A12" t="inlineStr">
        <is>
          <t>出典：求人票（株式会社IPPO）　※エージェントメモは求人票記載外の情報を含む</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求人票データ｜株式会社夢真</t>
        </is>
      </c>
    </row>
    <row r="2">
      <c r="A2" t="inlineStr">
        <is>
          <t>未経験施工管理（技術者派遣）／オープンアップグループ／全国</t>
        </is>
      </c>
    </row>
    <row r="3">
      <c r="A3" t="inlineStr">
        <is>
          <t>掲載日</t>
        </is>
      </c>
      <c r="B3" t="inlineStr">
        <is>
          <t>2026/03/16</t>
        </is>
      </c>
    </row>
    <row r="4">
      <c r="A4" t="inlineStr">
        <is>
          <t>必須要件（Must）</t>
        </is>
      </c>
      <c r="B4" t="inlineStr">
        <is>
          <t>・未経験者・第二新卒者歓迎
・日本国籍（外国籍は永住権必須）
・運転免許（一都六県以外の方）
※職種・業界・社会人経験すべて問いません</t>
        </is>
      </c>
    </row>
    <row r="5">
      <c r="A5" t="inlineStr">
        <is>
          <t>歓迎要件（Want）</t>
        </is>
      </c>
      <c r="B5" t="inlineStr">
        <is>
          <t>・施工管理の業務経験
・人と関わる仕事がしたい方
・ものづくりに興味と意欲を持つ方</t>
        </is>
      </c>
    </row>
    <row r="6">
      <c r="A6" t="inlineStr">
        <is>
          <t>仕事内容（概要）</t>
        </is>
      </c>
      <c r="B6" t="inlineStr">
        <is>
          <t>東証プライム上場の株式会社オープンアップグループのグループ企業として、建築プロジェクトの施工管理業務を担当するポジション。
未経験・文系出身者が多数活躍。
【主な業務】
・協力業者の日程調整・進捗管理・業務指示
・現場巡回・安全確認・朝礼
・協力会社との打ち合わせ
・図面・要領書のチェック・書類整理
【主なプロジェクト例】
首都圏ターミナル駅開発・国家的イベント事業・有名アミューズメント施設・地域活性化事業など
【研修制度】
・建築基礎・検査・安全衛生・ヒューマンスキル・ビジネスマナー・図面研修・模擬現場体験
・取引顧客数1,700社以上・年間契約件数約24,000件以上
★90種類以上の資格に対して手当支給（資格取得支援制度あり）
★U・Iターン可能・全国47都道府県配属
★社員持株会・確定拠出年金・ベネフィットステーション（映画・フィットネス・飲食・旅行割引）</t>
        </is>
      </c>
    </row>
    <row r="7">
      <c r="A7" t="inlineStr">
        <is>
          <t>求める人物像</t>
        </is>
      </c>
      <c r="B7" t="inlineStr">
        <is>
          <t>・コミュニケーション能力を活かしたい人
・チームワークを大切にしたい人
・役立つスキルを身につけて正社員として長く働きたい人
・ものづくりに興味がある人
・コツコツじっくり仕事をしたい人</t>
        </is>
      </c>
    </row>
    <row r="8">
      <c r="A8" t="inlineStr">
        <is>
          <t>ターゲット層の傾向</t>
        </is>
      </c>
      <c r="B8" t="inlineStr">
        <is>
          <t>【未経験歓迎・地方配属希望・安定志向型】
・第二新卒〜20代後半がメイン層
・前職：業種・職種・社会人経験すべて不問（完全未経験OK）
・「全国47都道府県・希望勤務地最大限考慮・U Iターン可能」という全国展開は、地方に戻りたい候補者への強い訴求
・東証プライム上場グループ・従業員6,043名・売上高1,616億円という安定性は、「手に職をつけつつ大手の安定が欲しい」候補者に刺さる
・90種類以上の資格手当は、「スキルアップしながら収入も上げたい」候補者へのモチベーション訴求',</t>
        </is>
      </c>
    </row>
    <row r="9">
      <c r="A9" t="inlineStr">
        <is>
          <t>想定年収レンジ</t>
        </is>
      </c>
      <c r="B9" t="inlineStr">
        <is>
          <t>350万円〜400万円
月給（首都圏・大阪等主要エリア）：269,266円〜
　基本給：177,500円・現場管理手当：23,100円・時間外手当（30h）：50,166円等
賞与：年2回（7月・12月）※入社後1年以上が対象
昇給：年2回（10月・4月）※入社後1年以上が対象
固定残業：30h分（超過分100%支給）
資格手当：90種類以上（資格取得支援制度あり）
社用物件・ベネフィットステーション・確定拠出年金
試用期間：6ヶ月</t>
        </is>
      </c>
    </row>
    <row r="10">
      <c r="A10" t="inlineStr">
        <is>
          <t>NG条件・懸念点</t>
        </is>
      </c>
      <c r="B10" t="inlineStr">
        <is>
          <t>【公式NG記載なし。以下は実務上の懸念点】
・試用期間6ヶ月は長め（待遇変更の有無は要確認）
・賞与・昇給は入社後1年以上が対象のため、入社後1年間は賞与なし
・週休2日（土日祝）だが、プロジェクト先により変動あり（工事現場の都合）
・首都圏10代の候補者には一部選考制限あり（中卒・夜職・既婚者は首都圏エリア選考対象外）
・技術者派遣のため、勤務先はクライアントの建設現場（客先常駐が前提）</t>
        </is>
      </c>
    </row>
    <row r="11">
      <c r="A11" t="inlineStr">
        <is>
          <t>エージェントメモ
（裏の評価・社風）</t>
        </is>
      </c>
      <c r="B11" t="inlineStr">
        <is>
          <t>・「完全未経験・社会人経験不問」という間口の広さは、転職ハードルを感じる候補者への最大の訴求材料
・東証プライム上場グループ・全国47都道府県・取引顧客1,700社以上という規模は、「大手の安定性×全国どこでも働ける」訴求として強い
・90種類以上の資格手当という具体的な数字は、「スキルと収入を同時に上げたい」候補者への信頼性の高い訴求
・首都圏ターミナル駅開発・国家的イベント事業など大型プロジェクトへの参画実績は、「形に残る仕事がしたい」候補者への達成感訴求
・U・Iターン可能という点は、地方出身で地元に戻りたい候補者への非常に強い訴求材料
・NG評価ポイント：「土日完全休み必須・現場勤務（客先常駐）が嫌・免許なし（地方エリア）・入社1年以内の賞与が必要」候補者は合わない</t>
        </is>
      </c>
    </row>
    <row r="12">
      <c r="A12" t="inlineStr">
        <is>
          <t>出典：求人票（株式会社夢真）　※エージェントメモは求人票記載外の情報を含む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2026-03-11T06:09:45Z</dcterms:created>
  <dcterms:modified xmlns:dcterms="http://purl.org/dc/terms/" xmlns:xsi="http://www.w3.org/2001/XMLSchema-instance" xsi:type="dcterms:W3CDTF">2026-03-16T10:54:12Z</dcterms:modified>
  <cp:lastModifiedBy>冨永 光一</cp:lastModifiedBy>
</cp:coreProperties>
</file>